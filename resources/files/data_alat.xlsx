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sigap-net-controll-app\resources\files\"/>
    </mc:Choice>
  </mc:AlternateContent>
  <xr:revisionPtr revIDLastSave="0" documentId="8_{BE9B77E8-B12F-42DC-B394-CA64E326E9DA}" xr6:coauthVersionLast="47" xr6:coauthVersionMax="47" xr10:uidLastSave="{00000000-0000-0000-0000-000000000000}"/>
  <bookViews>
    <workbookView xWindow="-103" yWindow="-103" windowWidth="24892" windowHeight="14914" xr2:uid="{B3F4DA7C-1D5B-48D4-851B-7B1D7C4E15D4}"/>
  </bookViews>
  <sheets>
    <sheet name="JOB PLAN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91" i="1" l="1"/>
  <c r="E491" i="1" s="1"/>
  <c r="C490" i="1"/>
  <c r="E490" i="1" s="1"/>
  <c r="C489" i="1"/>
  <c r="E489" i="1" s="1"/>
  <c r="C488" i="1"/>
  <c r="E488" i="1" s="1"/>
  <c r="C487" i="1"/>
  <c r="E487" i="1" s="1"/>
  <c r="C486" i="1"/>
  <c r="E486" i="1" s="1"/>
  <c r="E485" i="1"/>
  <c r="C485" i="1"/>
  <c r="C484" i="1"/>
  <c r="E484" i="1" s="1"/>
  <c r="C483" i="1"/>
  <c r="E483" i="1" s="1"/>
  <c r="C482" i="1"/>
  <c r="E482" i="1" s="1"/>
  <c r="C481" i="1"/>
  <c r="E481" i="1" s="1"/>
  <c r="C475" i="1"/>
  <c r="E475" i="1" s="1"/>
  <c r="C474" i="1"/>
  <c r="E474" i="1" s="1"/>
  <c r="C473" i="1"/>
  <c r="E473" i="1" s="1"/>
  <c r="E472" i="1"/>
  <c r="C472" i="1"/>
  <c r="C471" i="1"/>
  <c r="E471" i="1" s="1"/>
  <c r="C470" i="1"/>
  <c r="E470" i="1" s="1"/>
  <c r="C469" i="1"/>
  <c r="E469" i="1" s="1"/>
  <c r="C464" i="1"/>
  <c r="E464" i="1" s="1"/>
  <c r="C463" i="1"/>
  <c r="E463" i="1" s="1"/>
  <c r="C462" i="1"/>
  <c r="E462" i="1" s="1"/>
  <c r="C461" i="1"/>
  <c r="E461" i="1" s="1"/>
  <c r="C460" i="1"/>
  <c r="E460" i="1" s="1"/>
  <c r="C459" i="1"/>
  <c r="E459" i="1" s="1"/>
  <c r="C458" i="1"/>
  <c r="E458" i="1" s="1"/>
  <c r="C457" i="1"/>
  <c r="E457" i="1" s="1"/>
  <c r="C456" i="1"/>
  <c r="E456" i="1" s="1"/>
  <c r="C455" i="1"/>
  <c r="E455" i="1" s="1"/>
  <c r="C454" i="1"/>
  <c r="E454" i="1" s="1"/>
  <c r="C449" i="1"/>
  <c r="E449" i="1" s="1"/>
  <c r="C448" i="1"/>
  <c r="E448" i="1" s="1"/>
  <c r="E447" i="1"/>
  <c r="C447" i="1"/>
  <c r="C446" i="1"/>
  <c r="E446" i="1" s="1"/>
  <c r="C445" i="1"/>
  <c r="E445" i="1" s="1"/>
  <c r="C444" i="1"/>
  <c r="E444" i="1" s="1"/>
  <c r="C443" i="1"/>
  <c r="E443" i="1" s="1"/>
  <c r="C442" i="1"/>
  <c r="E442" i="1" s="1"/>
  <c r="C441" i="1"/>
  <c r="E441" i="1" s="1"/>
  <c r="C440" i="1"/>
  <c r="E440" i="1" s="1"/>
  <c r="C439" i="1"/>
  <c r="E439" i="1" s="1"/>
  <c r="C438" i="1"/>
  <c r="E438" i="1" s="1"/>
  <c r="C437" i="1"/>
  <c r="E437" i="1" s="1"/>
  <c r="E436" i="1"/>
  <c r="C436" i="1"/>
  <c r="C435" i="1"/>
  <c r="E435" i="1" s="1"/>
  <c r="C434" i="1"/>
  <c r="E434" i="1" s="1"/>
  <c r="C433" i="1"/>
  <c r="E433" i="1" s="1"/>
  <c r="C432" i="1"/>
  <c r="E432" i="1" s="1"/>
  <c r="C431" i="1"/>
  <c r="E431" i="1" s="1"/>
  <c r="C430" i="1"/>
  <c r="E430" i="1" s="1"/>
  <c r="C429" i="1"/>
  <c r="E429" i="1" s="1"/>
  <c r="C428" i="1"/>
  <c r="E428" i="1" s="1"/>
  <c r="C427" i="1"/>
  <c r="E427" i="1" s="1"/>
  <c r="C426" i="1"/>
  <c r="E426" i="1" s="1"/>
  <c r="E425" i="1"/>
  <c r="C425" i="1"/>
  <c r="C424" i="1"/>
  <c r="E424" i="1" s="1"/>
  <c r="C423" i="1"/>
  <c r="E423" i="1" s="1"/>
  <c r="C422" i="1"/>
  <c r="E422" i="1" s="1"/>
  <c r="C421" i="1"/>
  <c r="E421" i="1" s="1"/>
  <c r="C420" i="1"/>
  <c r="E420" i="1" s="1"/>
  <c r="C419" i="1"/>
  <c r="E419" i="1" s="1"/>
  <c r="C418" i="1"/>
  <c r="E418" i="1" s="1"/>
  <c r="C417" i="1"/>
  <c r="E417" i="1" s="1"/>
  <c r="C416" i="1"/>
  <c r="E416" i="1" s="1"/>
  <c r="C415" i="1"/>
  <c r="E415" i="1" s="1"/>
  <c r="C414" i="1"/>
  <c r="E414" i="1" s="1"/>
  <c r="C413" i="1"/>
  <c r="E413" i="1" s="1"/>
  <c r="C412" i="1"/>
  <c r="E412" i="1" s="1"/>
  <c r="C411" i="1"/>
  <c r="E411" i="1" s="1"/>
  <c r="C410" i="1"/>
  <c r="E410" i="1" s="1"/>
  <c r="C409" i="1"/>
  <c r="E409" i="1" s="1"/>
  <c r="C408" i="1"/>
  <c r="E408" i="1" s="1"/>
  <c r="E407" i="1"/>
  <c r="C407" i="1"/>
  <c r="C406" i="1"/>
  <c r="E406" i="1" s="1"/>
  <c r="C405" i="1"/>
  <c r="E405" i="1" s="1"/>
  <c r="C404" i="1"/>
  <c r="E404" i="1" s="1"/>
  <c r="C403" i="1"/>
  <c r="E403" i="1" s="1"/>
  <c r="C402" i="1"/>
  <c r="E402" i="1" s="1"/>
  <c r="C401" i="1"/>
  <c r="E401" i="1" s="1"/>
  <c r="C400" i="1"/>
  <c r="E400" i="1" s="1"/>
  <c r="C399" i="1"/>
  <c r="E399" i="1" s="1"/>
  <c r="C398" i="1"/>
  <c r="E398" i="1" s="1"/>
  <c r="C397" i="1"/>
  <c r="E397" i="1" s="1"/>
  <c r="C396" i="1"/>
  <c r="E396" i="1" s="1"/>
  <c r="C395" i="1"/>
  <c r="E395" i="1" s="1"/>
  <c r="C394" i="1"/>
  <c r="E394" i="1" s="1"/>
  <c r="C393" i="1"/>
  <c r="E393" i="1" s="1"/>
  <c r="E392" i="1"/>
  <c r="C392" i="1"/>
  <c r="C391" i="1"/>
  <c r="E391" i="1" s="1"/>
  <c r="C390" i="1"/>
  <c r="E390" i="1" s="1"/>
  <c r="C389" i="1"/>
  <c r="E389" i="1" s="1"/>
  <c r="C388" i="1"/>
  <c r="E388" i="1" s="1"/>
  <c r="C387" i="1"/>
  <c r="E387" i="1" s="1"/>
  <c r="C386" i="1"/>
  <c r="E386" i="1" s="1"/>
  <c r="C381" i="1"/>
  <c r="E381" i="1" s="1"/>
  <c r="C380" i="1"/>
  <c r="E380" i="1" s="1"/>
  <c r="C379" i="1"/>
  <c r="E379" i="1" s="1"/>
  <c r="C378" i="1"/>
  <c r="E378" i="1" s="1"/>
  <c r="C377" i="1"/>
  <c r="E377" i="1" s="1"/>
  <c r="C376" i="1"/>
  <c r="E376" i="1" s="1"/>
  <c r="C375" i="1"/>
  <c r="E375" i="1" s="1"/>
  <c r="E374" i="1"/>
  <c r="C374" i="1"/>
  <c r="C373" i="1"/>
  <c r="E373" i="1" s="1"/>
  <c r="C372" i="1"/>
  <c r="E372" i="1" s="1"/>
  <c r="C371" i="1"/>
  <c r="E371" i="1" s="1"/>
  <c r="C370" i="1"/>
  <c r="E370" i="1" s="1"/>
  <c r="C369" i="1"/>
  <c r="E369" i="1" s="1"/>
  <c r="C368" i="1"/>
  <c r="E368" i="1" s="1"/>
  <c r="C367" i="1"/>
  <c r="E367" i="1" s="1"/>
  <c r="C366" i="1"/>
  <c r="E366" i="1" s="1"/>
  <c r="C365" i="1"/>
  <c r="E365" i="1" s="1"/>
  <c r="C364" i="1"/>
  <c r="E364" i="1" s="1"/>
  <c r="C363" i="1"/>
  <c r="E363" i="1" s="1"/>
  <c r="C362" i="1"/>
  <c r="E362" i="1" s="1"/>
  <c r="C361" i="1"/>
  <c r="E361" i="1" s="1"/>
  <c r="C360" i="1"/>
  <c r="E360" i="1" s="1"/>
  <c r="C359" i="1"/>
  <c r="E359" i="1" s="1"/>
  <c r="C358" i="1"/>
  <c r="E358" i="1" s="1"/>
  <c r="C357" i="1"/>
  <c r="E357" i="1" s="1"/>
  <c r="C356" i="1"/>
  <c r="E356" i="1" s="1"/>
  <c r="C355" i="1"/>
  <c r="E355" i="1" s="1"/>
  <c r="C354" i="1"/>
  <c r="E354" i="1" s="1"/>
  <c r="C353" i="1"/>
  <c r="E353" i="1" s="1"/>
  <c r="C352" i="1"/>
  <c r="E352" i="1" s="1"/>
  <c r="C351" i="1"/>
  <c r="E351" i="1" s="1"/>
  <c r="C350" i="1"/>
  <c r="E350" i="1" s="1"/>
  <c r="C349" i="1"/>
  <c r="E349" i="1" s="1"/>
  <c r="C348" i="1"/>
  <c r="E348" i="1" s="1"/>
  <c r="E347" i="1"/>
  <c r="C347" i="1"/>
  <c r="C346" i="1"/>
  <c r="E346" i="1" s="1"/>
  <c r="C345" i="1"/>
  <c r="E345" i="1" s="1"/>
  <c r="C344" i="1"/>
  <c r="E344" i="1" s="1"/>
  <c r="C343" i="1"/>
  <c r="E343" i="1" s="1"/>
  <c r="C342" i="1"/>
  <c r="E342" i="1" s="1"/>
  <c r="C337" i="1"/>
  <c r="E337" i="1" s="1"/>
  <c r="C336" i="1"/>
  <c r="E336" i="1" s="1"/>
  <c r="C335" i="1"/>
  <c r="E335" i="1" s="1"/>
  <c r="C334" i="1"/>
  <c r="E334" i="1" s="1"/>
  <c r="C333" i="1"/>
  <c r="E333" i="1" s="1"/>
  <c r="C332" i="1"/>
  <c r="E332" i="1" s="1"/>
  <c r="C331" i="1"/>
  <c r="E331" i="1" s="1"/>
  <c r="E330" i="1"/>
  <c r="C330" i="1"/>
  <c r="C329" i="1"/>
  <c r="E329" i="1" s="1"/>
  <c r="E328" i="1"/>
  <c r="C328" i="1"/>
  <c r="C327" i="1"/>
  <c r="E327" i="1" s="1"/>
  <c r="C326" i="1"/>
  <c r="E326" i="1" s="1"/>
  <c r="C325" i="1"/>
  <c r="E325" i="1" s="1"/>
  <c r="C324" i="1"/>
  <c r="E324" i="1" s="1"/>
  <c r="E323" i="1"/>
  <c r="C323" i="1"/>
  <c r="C322" i="1"/>
  <c r="E322" i="1" s="1"/>
  <c r="C321" i="1"/>
  <c r="E321" i="1" s="1"/>
  <c r="C320" i="1"/>
  <c r="E320" i="1" s="1"/>
  <c r="C319" i="1"/>
  <c r="E319" i="1" s="1"/>
  <c r="C318" i="1"/>
  <c r="E318" i="1" s="1"/>
  <c r="C317" i="1"/>
  <c r="E317" i="1" s="1"/>
  <c r="C311" i="1"/>
  <c r="E311" i="1" s="1"/>
  <c r="C310" i="1"/>
  <c r="E310" i="1" s="1"/>
  <c r="C309" i="1"/>
  <c r="E309" i="1" s="1"/>
  <c r="C308" i="1"/>
  <c r="E308" i="1" s="1"/>
  <c r="C307" i="1"/>
  <c r="E307" i="1" s="1"/>
  <c r="C306" i="1"/>
  <c r="E306" i="1" s="1"/>
  <c r="C301" i="1"/>
  <c r="E301" i="1" s="1"/>
  <c r="E302" i="1" s="1"/>
  <c r="C296" i="1"/>
  <c r="E296" i="1" s="1"/>
  <c r="C295" i="1"/>
  <c r="E295" i="1" s="1"/>
  <c r="C294" i="1"/>
  <c r="E294" i="1" s="1"/>
  <c r="C293" i="1"/>
  <c r="E293" i="1" s="1"/>
  <c r="C292" i="1"/>
  <c r="E292" i="1" s="1"/>
  <c r="C291" i="1"/>
  <c r="E291" i="1" s="1"/>
  <c r="C286" i="1"/>
  <c r="E286" i="1" s="1"/>
  <c r="E287" i="1" s="1"/>
  <c r="C280" i="1"/>
  <c r="E280" i="1" s="1"/>
  <c r="C279" i="1"/>
  <c r="E279" i="1" s="1"/>
  <c r="C278" i="1"/>
  <c r="E278" i="1" s="1"/>
  <c r="C277" i="1"/>
  <c r="E277" i="1" s="1"/>
  <c r="C276" i="1"/>
  <c r="E276" i="1" s="1"/>
  <c r="C275" i="1"/>
  <c r="E275" i="1" s="1"/>
  <c r="C274" i="1"/>
  <c r="E274" i="1" s="1"/>
  <c r="C273" i="1"/>
  <c r="E273" i="1" s="1"/>
  <c r="C272" i="1"/>
  <c r="E272" i="1" s="1"/>
  <c r="C271" i="1"/>
  <c r="E271" i="1" s="1"/>
  <c r="C270" i="1"/>
  <c r="E270" i="1" s="1"/>
  <c r="C263" i="1"/>
  <c r="E263" i="1" s="1"/>
  <c r="C262" i="1"/>
  <c r="E262" i="1" s="1"/>
  <c r="C261" i="1"/>
  <c r="E261" i="1" s="1"/>
  <c r="E260" i="1"/>
  <c r="C260" i="1"/>
  <c r="C259" i="1"/>
  <c r="E259" i="1" s="1"/>
  <c r="C258" i="1"/>
  <c r="E258" i="1" s="1"/>
  <c r="C257" i="1"/>
  <c r="E257" i="1" s="1"/>
  <c r="C256" i="1"/>
  <c r="E256" i="1" s="1"/>
  <c r="C255" i="1"/>
  <c r="E255" i="1" s="1"/>
  <c r="C254" i="1"/>
  <c r="E254" i="1" s="1"/>
  <c r="C253" i="1"/>
  <c r="E253" i="1" s="1"/>
  <c r="C252" i="1"/>
  <c r="E252" i="1" s="1"/>
  <c r="C251" i="1"/>
  <c r="E251" i="1" s="1"/>
  <c r="C250" i="1"/>
  <c r="E250" i="1" s="1"/>
  <c r="C249" i="1"/>
  <c r="E249" i="1" s="1"/>
  <c r="C248" i="1"/>
  <c r="E248" i="1" s="1"/>
  <c r="C247" i="1"/>
  <c r="E247" i="1" s="1"/>
  <c r="C246" i="1"/>
  <c r="E246" i="1" s="1"/>
  <c r="C245" i="1"/>
  <c r="E245" i="1" s="1"/>
  <c r="C244" i="1"/>
  <c r="E244" i="1" s="1"/>
  <c r="C239" i="1"/>
  <c r="E239" i="1" s="1"/>
  <c r="C238" i="1"/>
  <c r="E238" i="1" s="1"/>
  <c r="C237" i="1"/>
  <c r="E237" i="1" s="1"/>
  <c r="C236" i="1"/>
  <c r="E236" i="1" s="1"/>
  <c r="C235" i="1"/>
  <c r="E235" i="1" s="1"/>
  <c r="C234" i="1"/>
  <c r="E234" i="1" s="1"/>
  <c r="C233" i="1"/>
  <c r="E233" i="1" s="1"/>
  <c r="C232" i="1"/>
  <c r="E232" i="1" s="1"/>
  <c r="E227" i="1"/>
  <c r="C227" i="1"/>
  <c r="C226" i="1"/>
  <c r="E226" i="1" s="1"/>
  <c r="C225" i="1"/>
  <c r="E225" i="1" s="1"/>
  <c r="C224" i="1"/>
  <c r="E224" i="1" s="1"/>
  <c r="C223" i="1"/>
  <c r="E223" i="1" s="1"/>
  <c r="C218" i="1"/>
  <c r="E218" i="1" s="1"/>
  <c r="C217" i="1"/>
  <c r="E217" i="1" s="1"/>
  <c r="C216" i="1"/>
  <c r="E216" i="1" s="1"/>
  <c r="C215" i="1"/>
  <c r="E215" i="1" s="1"/>
  <c r="C210" i="1"/>
  <c r="E210" i="1" s="1"/>
  <c r="C209" i="1"/>
  <c r="E209" i="1" s="1"/>
  <c r="C208" i="1"/>
  <c r="E208" i="1" s="1"/>
  <c r="C207" i="1"/>
  <c r="E207" i="1" s="1"/>
  <c r="C206" i="1"/>
  <c r="E206" i="1" s="1"/>
  <c r="D201" i="1"/>
  <c r="E201" i="1" s="1"/>
  <c r="C201" i="1"/>
  <c r="D200" i="1"/>
  <c r="E200" i="1" s="1"/>
  <c r="C200" i="1"/>
  <c r="D199" i="1"/>
  <c r="C199" i="1"/>
  <c r="D198" i="1"/>
  <c r="C198" i="1"/>
  <c r="D197" i="1"/>
  <c r="E197" i="1" s="1"/>
  <c r="C197" i="1"/>
  <c r="D196" i="1"/>
  <c r="C196" i="1"/>
  <c r="D195" i="1"/>
  <c r="C195" i="1"/>
  <c r="D194" i="1"/>
  <c r="E194" i="1" s="1"/>
  <c r="C194" i="1"/>
  <c r="D193" i="1"/>
  <c r="E193" i="1" s="1"/>
  <c r="C193" i="1"/>
  <c r="D192" i="1"/>
  <c r="C192" i="1"/>
  <c r="D191" i="1"/>
  <c r="E191" i="1" s="1"/>
  <c r="C191" i="1"/>
  <c r="D190" i="1"/>
  <c r="C190" i="1"/>
  <c r="D189" i="1"/>
  <c r="C189" i="1"/>
  <c r="D188" i="1"/>
  <c r="E188" i="1" s="1"/>
  <c r="C188" i="1"/>
  <c r="D187" i="1"/>
  <c r="C187" i="1"/>
  <c r="D186" i="1"/>
  <c r="C186" i="1"/>
  <c r="D185" i="1"/>
  <c r="C185" i="1"/>
  <c r="D184" i="1"/>
  <c r="C184" i="1"/>
  <c r="C183" i="1"/>
  <c r="E183" i="1" s="1"/>
  <c r="D182" i="1"/>
  <c r="E182" i="1" s="1"/>
  <c r="C182" i="1"/>
  <c r="D181" i="1"/>
  <c r="C181" i="1"/>
  <c r="E181" i="1" s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E173" i="1" s="1"/>
  <c r="C173" i="1"/>
  <c r="D172" i="1"/>
  <c r="C172" i="1"/>
  <c r="D171" i="1"/>
  <c r="C171" i="1"/>
  <c r="D170" i="1"/>
  <c r="C170" i="1"/>
  <c r="D169" i="1"/>
  <c r="C169" i="1"/>
  <c r="E169" i="1" s="1"/>
  <c r="C168" i="1"/>
  <c r="E168" i="1" s="1"/>
  <c r="D167" i="1"/>
  <c r="C167" i="1"/>
  <c r="E167" i="1" s="1"/>
  <c r="C166" i="1"/>
  <c r="E166" i="1" s="1"/>
  <c r="C165" i="1"/>
  <c r="E165" i="1" s="1"/>
  <c r="C160" i="1"/>
  <c r="E160" i="1" s="1"/>
  <c r="C159" i="1"/>
  <c r="E159" i="1" s="1"/>
  <c r="C158" i="1"/>
  <c r="E158" i="1" s="1"/>
  <c r="C157" i="1"/>
  <c r="E157" i="1" s="1"/>
  <c r="C156" i="1"/>
  <c r="E156" i="1" s="1"/>
  <c r="C155" i="1"/>
  <c r="E155" i="1" s="1"/>
  <c r="C150" i="1"/>
  <c r="E150" i="1" s="1"/>
  <c r="C149" i="1"/>
  <c r="E149" i="1" s="1"/>
  <c r="E151" i="1" s="1"/>
  <c r="C144" i="1"/>
  <c r="E144" i="1" s="1"/>
  <c r="C143" i="1"/>
  <c r="E143" i="1" s="1"/>
  <c r="E145" i="1" s="1"/>
  <c r="C138" i="1"/>
  <c r="E138" i="1" s="1"/>
  <c r="C137" i="1"/>
  <c r="E137" i="1" s="1"/>
  <c r="C136" i="1"/>
  <c r="E136" i="1" s="1"/>
  <c r="C135" i="1"/>
  <c r="E135" i="1" s="1"/>
  <c r="C134" i="1"/>
  <c r="E134" i="1" s="1"/>
  <c r="C133" i="1"/>
  <c r="E133" i="1" s="1"/>
  <c r="C132" i="1"/>
  <c r="E132" i="1" s="1"/>
  <c r="C131" i="1"/>
  <c r="E131" i="1" s="1"/>
  <c r="E130" i="1"/>
  <c r="C130" i="1"/>
  <c r="C129" i="1"/>
  <c r="E129" i="1" s="1"/>
  <c r="C128" i="1"/>
  <c r="E128" i="1" s="1"/>
  <c r="C127" i="1"/>
  <c r="E127" i="1" s="1"/>
  <c r="C126" i="1"/>
  <c r="E126" i="1" s="1"/>
  <c r="C125" i="1"/>
  <c r="E125" i="1" s="1"/>
  <c r="C124" i="1"/>
  <c r="E124" i="1" s="1"/>
  <c r="C123" i="1"/>
  <c r="E123" i="1" s="1"/>
  <c r="C122" i="1"/>
  <c r="E122" i="1" s="1"/>
  <c r="C121" i="1"/>
  <c r="E121" i="1" s="1"/>
  <c r="E120" i="1"/>
  <c r="C120" i="1"/>
  <c r="C119" i="1"/>
  <c r="E119" i="1" s="1"/>
  <c r="C118" i="1"/>
  <c r="E118" i="1" s="1"/>
  <c r="C117" i="1"/>
  <c r="E117" i="1" s="1"/>
  <c r="C116" i="1"/>
  <c r="E116" i="1" s="1"/>
  <c r="C115" i="1"/>
  <c r="E115" i="1" s="1"/>
  <c r="C114" i="1"/>
  <c r="E114" i="1" s="1"/>
  <c r="C113" i="1"/>
  <c r="E113" i="1" s="1"/>
  <c r="C112" i="1"/>
  <c r="E112" i="1" s="1"/>
  <c r="D107" i="1"/>
  <c r="C107" i="1"/>
  <c r="D106" i="1"/>
  <c r="C106" i="1"/>
  <c r="D105" i="1"/>
  <c r="C105" i="1"/>
  <c r="D104" i="1"/>
  <c r="E104" i="1" s="1"/>
  <c r="C104" i="1"/>
  <c r="D103" i="1"/>
  <c r="C103" i="1"/>
  <c r="D102" i="1"/>
  <c r="C102" i="1"/>
  <c r="E102" i="1" s="1"/>
  <c r="D101" i="1"/>
  <c r="C101" i="1"/>
  <c r="D100" i="1"/>
  <c r="E100" i="1" s="1"/>
  <c r="C100" i="1"/>
  <c r="D99" i="1"/>
  <c r="C99" i="1"/>
  <c r="D98" i="1"/>
  <c r="C98" i="1"/>
  <c r="D97" i="1"/>
  <c r="C97" i="1"/>
  <c r="D96" i="1"/>
  <c r="E96" i="1" s="1"/>
  <c r="C96" i="1"/>
  <c r="D95" i="1"/>
  <c r="C95" i="1"/>
  <c r="D94" i="1"/>
  <c r="E94" i="1" s="1"/>
  <c r="C94" i="1"/>
  <c r="D93" i="1"/>
  <c r="C93" i="1"/>
  <c r="D92" i="1"/>
  <c r="C92" i="1"/>
  <c r="D91" i="1"/>
  <c r="C91" i="1"/>
  <c r="D90" i="1"/>
  <c r="E90" i="1" s="1"/>
  <c r="C90" i="1"/>
  <c r="D89" i="1"/>
  <c r="C89" i="1"/>
  <c r="D88" i="1"/>
  <c r="C88" i="1"/>
  <c r="D87" i="1"/>
  <c r="C87" i="1"/>
  <c r="D86" i="1"/>
  <c r="E86" i="1" s="1"/>
  <c r="C86" i="1"/>
  <c r="D85" i="1"/>
  <c r="C85" i="1"/>
  <c r="D84" i="1"/>
  <c r="E84" i="1" s="1"/>
  <c r="C84" i="1"/>
  <c r="C83" i="1"/>
  <c r="E83" i="1" s="1"/>
  <c r="D82" i="1"/>
  <c r="C82" i="1"/>
  <c r="D81" i="1"/>
  <c r="C81" i="1"/>
  <c r="D80" i="1"/>
  <c r="C80" i="1"/>
  <c r="D79" i="1"/>
  <c r="C79" i="1"/>
  <c r="C78" i="1"/>
  <c r="E78" i="1" s="1"/>
  <c r="D77" i="1"/>
  <c r="C77" i="1"/>
  <c r="D76" i="1"/>
  <c r="C76" i="1"/>
  <c r="E76" i="1" s="1"/>
  <c r="C75" i="1"/>
  <c r="E75" i="1" s="1"/>
  <c r="D70" i="1"/>
  <c r="E70" i="1" s="1"/>
  <c r="C70" i="1"/>
  <c r="D69" i="1"/>
  <c r="E69" i="1" s="1"/>
  <c r="C69" i="1"/>
  <c r="D68" i="1"/>
  <c r="C68" i="1"/>
  <c r="D67" i="1"/>
  <c r="C67" i="1"/>
  <c r="E66" i="1"/>
  <c r="D66" i="1"/>
  <c r="C66" i="1"/>
  <c r="E65" i="1"/>
  <c r="C65" i="1"/>
  <c r="C60" i="1"/>
  <c r="E60" i="1" s="1"/>
  <c r="C59" i="1"/>
  <c r="E59" i="1" s="1"/>
  <c r="C58" i="1"/>
  <c r="E58" i="1" s="1"/>
  <c r="C57" i="1"/>
  <c r="E57" i="1" s="1"/>
  <c r="E56" i="1"/>
  <c r="C56" i="1"/>
  <c r="C55" i="1"/>
  <c r="E55" i="1" s="1"/>
  <c r="E61" i="1" s="1"/>
  <c r="C50" i="1"/>
  <c r="E50" i="1" s="1"/>
  <c r="C49" i="1"/>
  <c r="E49" i="1" s="1"/>
  <c r="C48" i="1"/>
  <c r="E48" i="1" s="1"/>
  <c r="C47" i="1"/>
  <c r="E47" i="1" s="1"/>
  <c r="C46" i="1"/>
  <c r="E46" i="1" s="1"/>
  <c r="D41" i="1"/>
  <c r="E41" i="1" s="1"/>
  <c r="C41" i="1"/>
  <c r="D40" i="1"/>
  <c r="C40" i="1"/>
  <c r="D39" i="1"/>
  <c r="E39" i="1" s="1"/>
  <c r="C39" i="1"/>
  <c r="D38" i="1"/>
  <c r="C38" i="1"/>
  <c r="E38" i="1" s="1"/>
  <c r="D37" i="1"/>
  <c r="C37" i="1"/>
  <c r="C36" i="1"/>
  <c r="E36" i="1" s="1"/>
  <c r="D31" i="1"/>
  <c r="C31" i="1"/>
  <c r="D30" i="1"/>
  <c r="E30" i="1" s="1"/>
  <c r="C30" i="1"/>
  <c r="D29" i="1"/>
  <c r="E29" i="1" s="1"/>
  <c r="C29" i="1"/>
  <c r="D28" i="1"/>
  <c r="C28" i="1"/>
  <c r="E28" i="1" s="1"/>
  <c r="D27" i="1"/>
  <c r="C27" i="1"/>
  <c r="E26" i="1"/>
  <c r="C26" i="1"/>
  <c r="D20" i="1"/>
  <c r="C20" i="1"/>
  <c r="D19" i="1"/>
  <c r="C19" i="1"/>
  <c r="D18" i="1"/>
  <c r="E18" i="1" s="1"/>
  <c r="C18" i="1"/>
  <c r="D17" i="1"/>
  <c r="E17" i="1" s="1"/>
  <c r="C17" i="1"/>
  <c r="D16" i="1"/>
  <c r="C16" i="1"/>
  <c r="E15" i="1"/>
  <c r="C15" i="1"/>
  <c r="D10" i="1"/>
  <c r="C10" i="1"/>
  <c r="D9" i="1"/>
  <c r="C9" i="1"/>
  <c r="D8" i="1"/>
  <c r="E8" i="1" s="1"/>
  <c r="C8" i="1"/>
  <c r="D7" i="1"/>
  <c r="C7" i="1"/>
  <c r="D6" i="1"/>
  <c r="C6" i="1"/>
  <c r="C5" i="1"/>
  <c r="E5" i="1" s="1"/>
  <c r="E281" i="1" l="1"/>
  <c r="E476" i="1"/>
  <c r="E185" i="1"/>
  <c r="E89" i="1"/>
  <c r="E450" i="1"/>
  <c r="E107" i="1"/>
  <c r="E178" i="1"/>
  <c r="E20" i="1"/>
  <c r="E82" i="1"/>
  <c r="E99" i="1"/>
  <c r="E196" i="1"/>
  <c r="E219" i="1"/>
  <c r="E91" i="1"/>
  <c r="E170" i="1"/>
  <c r="E202" i="1" s="1"/>
  <c r="E179" i="1"/>
  <c r="E80" i="1"/>
  <c r="E9" i="1"/>
  <c r="E11" i="1" s="1"/>
  <c r="E27" i="1"/>
  <c r="E198" i="1"/>
  <c r="E79" i="1"/>
  <c r="E7" i="1"/>
  <c r="E190" i="1"/>
  <c r="E228" i="1"/>
  <c r="E67" i="1"/>
  <c r="E186" i="1"/>
  <c r="E98" i="1"/>
  <c r="E92" i="1"/>
  <c r="E171" i="1"/>
  <c r="E40" i="1"/>
  <c r="E85" i="1"/>
  <c r="E161" i="1"/>
  <c r="E199" i="1"/>
  <c r="E97" i="1"/>
  <c r="E68" i="1"/>
  <c r="E71" i="1" s="1"/>
  <c r="E81" i="1"/>
  <c r="E187" i="1"/>
  <c r="E176" i="1"/>
  <c r="E6" i="1"/>
  <c r="E177" i="1"/>
  <c r="E37" i="1"/>
  <c r="E42" i="1" s="1"/>
  <c r="E180" i="1"/>
  <c r="E93" i="1"/>
  <c r="E88" i="1"/>
  <c r="E31" i="1"/>
  <c r="E195" i="1"/>
  <c r="E312" i="1"/>
  <c r="E101" i="1"/>
  <c r="E10" i="1"/>
  <c r="E172" i="1"/>
  <c r="E16" i="1"/>
  <c r="E21" i="1" s="1"/>
  <c r="E77" i="1"/>
  <c r="E108" i="1" s="1"/>
  <c r="E95" i="1"/>
  <c r="E103" i="1"/>
  <c r="E174" i="1"/>
  <c r="E192" i="1"/>
  <c r="E105" i="1"/>
  <c r="E106" i="1"/>
  <c r="E19" i="1"/>
  <c r="E189" i="1"/>
  <c r="E87" i="1"/>
  <c r="E175" i="1"/>
  <c r="E184" i="1"/>
  <c r="E211" i="1"/>
  <c r="E240" i="1"/>
  <c r="E492" i="1"/>
  <c r="E297" i="1"/>
  <c r="E139" i="1"/>
  <c r="E32" i="1"/>
  <c r="E264" i="1"/>
  <c r="E382" i="1"/>
  <c r="E465" i="1"/>
  <c r="E477" i="1" s="1"/>
  <c r="E51" i="1"/>
  <c r="E338" i="1"/>
</calcChain>
</file>

<file path=xl/sharedStrings.xml><?xml version="1.0" encoding="utf-8"?>
<sst xmlns="http://schemas.openxmlformats.org/spreadsheetml/2006/main" count="572" uniqueCount="347">
  <si>
    <t xml:space="preserve"> (REACH STACKER)</t>
  </si>
  <si>
    <t>Kegiatan</t>
  </si>
  <si>
    <t>Durasi (Menit)</t>
  </si>
  <si>
    <t>Durasi (Jam)</t>
  </si>
  <si>
    <t>Satuan/kali</t>
  </si>
  <si>
    <t>Jam/tahun</t>
  </si>
  <si>
    <t>Daily Inspection</t>
  </si>
  <si>
    <t>Service 250 &amp; 750</t>
  </si>
  <si>
    <t>Service 500</t>
  </si>
  <si>
    <t>Service 1000</t>
  </si>
  <si>
    <t>Service 2000</t>
  </si>
  <si>
    <t>CHANGE TYRE</t>
  </si>
  <si>
    <t>TOTAL ACTIVITY (JAM/TAHUN)</t>
  </si>
  <si>
    <t xml:space="preserve"> (FORKLIFT DIESEL)</t>
  </si>
  <si>
    <t xml:space="preserve"> (FORKLIFT)</t>
  </si>
  <si>
    <t>Service 250</t>
  </si>
  <si>
    <t xml:space="preserve"> (HEADTRUCK)</t>
  </si>
  <si>
    <t xml:space="preserve"> (EXCAVATOR)</t>
  </si>
  <si>
    <t>Kali/Tahun</t>
  </si>
  <si>
    <t xml:space="preserve"> (WHEELOADER)</t>
  </si>
  <si>
    <t xml:space="preserve"> (SIDELOADER)</t>
  </si>
  <si>
    <t xml:space="preserve"> (RTG)</t>
  </si>
  <si>
    <t>DAILY INSPECTION RTG</t>
  </si>
  <si>
    <t xml:space="preserve">INSPECTION 1 MONTH RTG </t>
  </si>
  <si>
    <t xml:space="preserve">INSPECTION 3 MONTH RTG </t>
  </si>
  <si>
    <t xml:space="preserve">INSPECTION 6 MONTH RTG </t>
  </si>
  <si>
    <t>SERVICE 250 JAM RTG ZPMC-TYPE 2506C-E15 TAG2</t>
  </si>
  <si>
    <t>SERVICE 500 JAM RTG ZPMC-TYPE 2506C-E15 TAG2</t>
  </si>
  <si>
    <t>SERVICE 1000 JAM RTG ZPMC-TYPE 2506C-E15 TAG2</t>
  </si>
  <si>
    <t xml:space="preserve">CHANGE WIREROPE HOIST RTG </t>
  </si>
  <si>
    <t xml:space="preserve">GREASING WIREROPE HOIST RTG </t>
  </si>
  <si>
    <t xml:space="preserve">GREASING CABLE BASKET SPREADER RTG </t>
  </si>
  <si>
    <t xml:space="preserve">GREASING SLIDING PAD GEAR BOX FLIPPER DAN TWISTLOCK RTG </t>
  </si>
  <si>
    <t xml:space="preserve">GREASING MOTOR AC / DC RTG </t>
  </si>
  <si>
    <t xml:space="preserve">GREASING OPEN GEAR TROLLEY RTG </t>
  </si>
  <si>
    <t>GREASING SPREADER SYSTEM RTG</t>
  </si>
  <si>
    <t xml:space="preserve">CHANGE GEAR BOX HOIST OIL RTG </t>
  </si>
  <si>
    <t xml:space="preserve">CHANGE GEAR BOX TROLLEY OIL RTG </t>
  </si>
  <si>
    <t xml:space="preserve">GREASING SKEWING RTG </t>
  </si>
  <si>
    <t xml:space="preserve">CHANGE HYDRAULIC STEERING GANTRY OIL RTG </t>
  </si>
  <si>
    <t xml:space="preserve">CHANGE GEAR BOX TRIM GEAR OIL RTG </t>
  </si>
  <si>
    <t xml:space="preserve">GREASING ROPESHAVE HOIST RTG </t>
  </si>
  <si>
    <t xml:space="preserve">CHECK CONDITIONS HEAD BLOCK, TWISLOCK, PIN, SPLITH PEN, BUSHING, DRUM CABLE, STRUCTURE (DPT) RTG </t>
  </si>
  <si>
    <t xml:space="preserve">GREASING DRUM HOIST AND COUPLING HOIST RTG </t>
  </si>
  <si>
    <t xml:space="preserve">GREASING CHAIN GANTRY RTG </t>
  </si>
  <si>
    <t xml:space="preserve">GREASING BEARING, BOGGIE AND EQUALIZER PIN RTG </t>
  </si>
  <si>
    <t xml:space="preserve">CHANGE GEAR BOX DIFFERENTIAL OIL ALL GANTRY RTG </t>
  </si>
  <si>
    <t xml:space="preserve">SERVICE AIR CONDITIONER CABIN OPERATOR DAN ELECTRIC ROOM RTG </t>
  </si>
  <si>
    <t xml:space="preserve">CHANGE TRUSTHER BRAKE OIL RTG </t>
  </si>
  <si>
    <t xml:space="preserve">INSULATION MOTOR HOIST RTG </t>
  </si>
  <si>
    <t xml:space="preserve">INSULATION GENERATOR RTG </t>
  </si>
  <si>
    <t xml:space="preserve">INSULATION MOTOR TROLLEY RTG </t>
  </si>
  <si>
    <t xml:space="preserve">INSULATION MOTOR GANTRY RTG </t>
  </si>
  <si>
    <t xml:space="preserve">CHANGE GEAR BOX SKEWING OIL RTG </t>
  </si>
  <si>
    <t xml:space="preserve"> (HMC)</t>
  </si>
  <si>
    <t>DAILY INSPECTION</t>
  </si>
  <si>
    <t>SERVICE 250 JAM GOTTWALD</t>
  </si>
  <si>
    <t>SERVICE 500H GOTTWALD</t>
  </si>
  <si>
    <t>SERVICE 1000H GOTTWALD</t>
  </si>
  <si>
    <t>CHANGE WIREROPE GOTTWALD 4406</t>
  </si>
  <si>
    <t>CHANGE OIL HYDRAULIC GOTTWALD</t>
  </si>
  <si>
    <t>INSPECTION 1 MONTH</t>
  </si>
  <si>
    <t>INSPECTION 1 MONTH &amp; 2 MONTH</t>
  </si>
  <si>
    <t>PREVENTIVE MAINTENANCE 1 MONTH</t>
  </si>
  <si>
    <t>PREVENTIVE MAINTENANCE 1 MONTH &amp; 2 MONTH</t>
  </si>
  <si>
    <t>PREVENTIVE MAINTENANCE 1 MONTH &amp; 3 MONTH</t>
  </si>
  <si>
    <t>PREVENTIVE MAINTENANCE 1 MONTH, 2 MONTH, 3 MONTH</t>
  </si>
  <si>
    <t>CHANGE OIL HOIST REDUCTION GEAR UNIT</t>
  </si>
  <si>
    <t>CHANGE OIL SLEWING REDUCTION GEAR UNIT</t>
  </si>
  <si>
    <t>CHANGE OIL AXLE DIFFERENTIAL AND WHEEL HUB GEARBOX</t>
  </si>
  <si>
    <t>CHANGE OIL REDUCTION GEAR SWIVEL</t>
  </si>
  <si>
    <t>INSPECTION DIESEL ENGINE 6000 JAM</t>
  </si>
  <si>
    <t>INSPECTION MOTOR HOIST 6000 JAM</t>
  </si>
  <si>
    <t>INSPECTION MOTOR SLEWING 6000 JAM</t>
  </si>
  <si>
    <t>INSPECTION MOTOR PUMP 6000 JAM</t>
  </si>
  <si>
    <t>INSPECTION MOTOR CABLE REEL SPREADER</t>
  </si>
  <si>
    <t>INSPECTION MOTOR EXTRA POWER</t>
  </si>
  <si>
    <t>INSPECTION SPREADER</t>
  </si>
  <si>
    <t>INSPECTION HOOK</t>
  </si>
  <si>
    <t>CHANGE OIL GEARBOX CABLE REEL SPREADER</t>
  </si>
  <si>
    <t>INPECTION TRAVO EXTRA POWER</t>
  </si>
  <si>
    <t xml:space="preserve"> (HOPPER)</t>
  </si>
  <si>
    <t>GREASING HOPPER</t>
  </si>
  <si>
    <t xml:space="preserve"> (GRAB)</t>
  </si>
  <si>
    <t>GREASING GRAB</t>
  </si>
  <si>
    <t xml:space="preserve"> (EXC)</t>
  </si>
  <si>
    <t xml:space="preserve">DAILY INSPECTION </t>
  </si>
  <si>
    <t xml:space="preserve">SERVICE 250 JAM </t>
  </si>
  <si>
    <t xml:space="preserve">SERVICE 500 JAM </t>
  </si>
  <si>
    <t xml:space="preserve">SERVICE 750 JAM </t>
  </si>
  <si>
    <t xml:space="preserve">SERVICE 1000 JAM </t>
  </si>
  <si>
    <t xml:space="preserve">SERVICE 2000 JAM </t>
  </si>
  <si>
    <t xml:space="preserve"> (CC)</t>
  </si>
  <si>
    <t xml:space="preserve">DAILY INSPECTION CC </t>
  </si>
  <si>
    <t xml:space="preserve">CHANGE WIREROPE HOIST CC </t>
  </si>
  <si>
    <t xml:space="preserve">CHANGE SPREADER HYDRAULIC OIL CC </t>
  </si>
  <si>
    <t xml:space="preserve">CHANGE WIREROPE BOOM CC </t>
  </si>
  <si>
    <t xml:space="preserve">GREASING WIREROPE BOOM CC </t>
  </si>
  <si>
    <t xml:space="preserve">GREASING WIREROPE HOIST CC </t>
  </si>
  <si>
    <t xml:space="preserve">GREASING BEARING ROPESHAVE HOIST CC </t>
  </si>
  <si>
    <t xml:space="preserve">GREASING CABLE BASKET SPREADER CC </t>
  </si>
  <si>
    <t xml:space="preserve">GREASING SLIDING PAD GEAR BOX FLIPPER DAN TWISTLOCK CC </t>
  </si>
  <si>
    <t xml:space="preserve">GREASING BEARING ROPESHAVE BOOM CC </t>
  </si>
  <si>
    <t xml:space="preserve">GREASING WHEEL BEARING GANTRY CC </t>
  </si>
  <si>
    <t xml:space="preserve">GREASING PIN BOOM CC </t>
  </si>
  <si>
    <t xml:space="preserve">CHANGE GEAR BOX OIL HOIST CC </t>
  </si>
  <si>
    <t xml:space="preserve">CHANGE GEAR BOX OIL BOOM CC </t>
  </si>
  <si>
    <t xml:space="preserve">GREASING RAIL AND GEAR MAN LIFT CC </t>
  </si>
  <si>
    <t xml:space="preserve">GREASING MOTOR DC CC </t>
  </si>
  <si>
    <t xml:space="preserve">INSPECTION 3 MONTH CC </t>
  </si>
  <si>
    <t xml:space="preserve">INSPECTION 1 MONTH CC </t>
  </si>
  <si>
    <t xml:space="preserve">INSPECTION 6 MONTH CC </t>
  </si>
  <si>
    <t xml:space="preserve">GREASING DRUM AND COUPLING HOIST CC </t>
  </si>
  <si>
    <t xml:space="preserve">GREASING DRUM AND COUPLING TROLLEY CC </t>
  </si>
  <si>
    <t xml:space="preserve">GREASING ROPESHAVE TROLLEY CC </t>
  </si>
  <si>
    <t xml:space="preserve">GREASING WHELL BEARING TROLLEY CC </t>
  </si>
  <si>
    <t xml:space="preserve">CHANGE EMERGENCY BOOM HYDRAULIC OIL CC </t>
  </si>
  <si>
    <t xml:space="preserve">SERVICE AIR CONDITIONER CC </t>
  </si>
  <si>
    <t xml:space="preserve">CHECK CARBON BRUSH MOTOR HOIST CC </t>
  </si>
  <si>
    <t xml:space="preserve">CHECK CARBON BRUSH MOTOR TROLLEY CC </t>
  </si>
  <si>
    <t xml:space="preserve">CHECK CARBON BRUSH MOTOR GANTRY CC </t>
  </si>
  <si>
    <t xml:space="preserve">CHECK CARBON BRUSH MOTOR BOOM CC </t>
  </si>
  <si>
    <t xml:space="preserve">INSULATION MOTOR HOIST CC </t>
  </si>
  <si>
    <t xml:space="preserve">INSULATION MOTOR BOOM CC </t>
  </si>
  <si>
    <t xml:space="preserve">INSULATION MOTOR TROLLEY CC </t>
  </si>
  <si>
    <t xml:space="preserve">INSULATION MOTOR GANTRY CC </t>
  </si>
  <si>
    <t xml:space="preserve">CHANGE TRUSTER BRAKE OIL CC </t>
  </si>
  <si>
    <t xml:space="preserve">CHANGE GEAR BOX OIL GANTRY CC </t>
  </si>
  <si>
    <t xml:space="preserve">CHANGE GEAR BOX OIL TROLLEY CC </t>
  </si>
  <si>
    <t xml:space="preserve">CHECK CONDITION HEAD BLOCK, PIN, SPLITH PEN, BUSHING, DRUM CABLE AND STRUCTURE (DPT) UNIT CC </t>
  </si>
  <si>
    <t xml:space="preserve"> (GENSET)</t>
  </si>
  <si>
    <t>DAILY INSPECTION CUMMINS GENSET 1500 KVA</t>
  </si>
  <si>
    <t>SERVICE ENGINE 250 HOURS CUMMINS GENSET 1500 KVA</t>
  </si>
  <si>
    <t>SERVICE ENGINE 500 HOURS CUMMINS GENSET 1500 KVA</t>
  </si>
  <si>
    <t>SERVICE ENGINE 1000 HOURS CUMMINS GENSET 1500 KVA</t>
  </si>
  <si>
    <t>SERVICE ENGINE 2000 HOURS CUMMINS GENSET 1500 KVA</t>
  </si>
  <si>
    <t xml:space="preserve"> (DAMKAR)</t>
  </si>
  <si>
    <t>DAILY INSPECTION DAMKAR DUTRO-W04 D-TR</t>
  </si>
  <si>
    <t xml:space="preserve">SERVICE 1000 KM DAMKAR </t>
  </si>
  <si>
    <t xml:space="preserve">SERVICE 250 KM DAMKAR </t>
  </si>
  <si>
    <t xml:space="preserve"> (POMPA)</t>
  </si>
  <si>
    <t>SERVICE ENGINE 250 JAM POMPA CPO DEUTZ 150T/J</t>
  </si>
  <si>
    <t>SERVICE ENGINE 500 JAM POMPA CPO DEUTZ 150T/J</t>
  </si>
  <si>
    <t>SERVICE ENGINE 750 JAM POMPA CPO DEUTZ 150T/J</t>
  </si>
  <si>
    <t>SERVICE ENGINE 1000 JAM POMPA CPO DEUTZ 150T/J</t>
  </si>
  <si>
    <t>DAILY INSPECTION POMPA CPO DEUTZ 150T/J</t>
  </si>
  <si>
    <t xml:space="preserve"> (TT)</t>
  </si>
  <si>
    <t>DAILY INSPECTION TT TERBERG YT220 (AT)</t>
  </si>
  <si>
    <t>SERVICE 250 JAM TT TERBERG YT220 (AT)</t>
  </si>
  <si>
    <t>SERVICE 2000 JAM TT TERBERG YT220 (AT)</t>
  </si>
  <si>
    <t>SERVICE 6000 JAM TT TERBERG YT220 (AT)</t>
  </si>
  <si>
    <t>SERVICE 1000 JAM TT TERBERG YT220 (AT)</t>
  </si>
  <si>
    <t>SERVICE 500 JAM TT TERBERG YT220 (AT)</t>
  </si>
  <si>
    <t>SERVICE 750 JAM TT TERBERG YT220 (AT)</t>
  </si>
  <si>
    <t xml:space="preserve"> (SC)</t>
  </si>
  <si>
    <t>DAILY INSPECTION SC DE52-DC13 074A</t>
  </si>
  <si>
    <t>SERVICE WEEKLY</t>
  </si>
  <si>
    <t>SERVICE 500 JAM SC DE52-DC13 074A</t>
  </si>
  <si>
    <t>SERVICE 1000 JAM SC DE52-DC13 074A</t>
  </si>
  <si>
    <t>SERVICE 2000 JAM SC DE52-DC13 074A</t>
  </si>
  <si>
    <t>SERVICE 4000 JAM SC DE52-DC13 074A</t>
  </si>
  <si>
    <t>SERVICE 6000 JAM SC DE52-DC13 074A</t>
  </si>
  <si>
    <t>SERVICE 8000 JAM SC DE52-DC13 074A</t>
  </si>
  <si>
    <t>SERVICE 12000 JAM SC DE52-DC13 074A</t>
  </si>
  <si>
    <t>CHANGE WIREROPE HOIST</t>
  </si>
  <si>
    <t>GREASING SLIDING PAD SPREADER</t>
  </si>
  <si>
    <t xml:space="preserve">GREASING PIN DAN BEARING </t>
  </si>
  <si>
    <t>CHANGE TRUSTER BRAKE OIL</t>
  </si>
  <si>
    <t xml:space="preserve">CHANGE GEAR BOX OIL GANTRY </t>
  </si>
  <si>
    <t>CHANGE GEAR BOX OIL HOIST</t>
  </si>
  <si>
    <t>CHECK CONDITION HEAD BLOCK, PIN, SPLITH PEN, BUSHING, DRUM CABLE AND STRUCTURE (DPT) UNIT</t>
  </si>
  <si>
    <t xml:space="preserve">INSULATION MOTOR HOIST </t>
  </si>
  <si>
    <t xml:space="preserve">INSULATION MOTOR GANTRY </t>
  </si>
  <si>
    <t>INSULATION MOTOR SPREADER</t>
  </si>
  <si>
    <t xml:space="preserve"> (FIXED CRANE)</t>
  </si>
  <si>
    <t>DAILY INSPECTION FIXED CRANE GYM80- 20 TON</t>
  </si>
  <si>
    <t>INSPECTION 1 MONTH FIXED CRANE GYM80- 20 TON</t>
  </si>
  <si>
    <t>MEGGER MOTOR SLEWING FIXED CRANE GYM80- 20 TON</t>
  </si>
  <si>
    <t>MEGGER MOTOR LUFFING FIXED CRANE GYM80- 20 TON</t>
  </si>
  <si>
    <t>MEGGER MOTOR HOIST FIXED CRANE GYM80- 20 TON</t>
  </si>
  <si>
    <t>GREASING WIREROPE HOIST &amp; LUFFING FIXED CRANE GYM80- 20 TON</t>
  </si>
  <si>
    <t>GREASING ALL BEARING FIXED CRANE GYM80- 20 TON</t>
  </si>
  <si>
    <t>CHANGE GEARBOX HOIST OIL FIXED CRANE GYM80- 20 TON</t>
  </si>
  <si>
    <t>CHANGE GEARBOX LUFFING OIL FIXED CRANE GYM80- 20 TON</t>
  </si>
  <si>
    <t>CHANGE GEARBOX SLEWING OIL FIXED CRANE GYM80- 20 TON</t>
  </si>
  <si>
    <t>CHANGE REDUCER OIL FIXED CRANE GYM80- 20 TON</t>
  </si>
  <si>
    <t xml:space="preserve"> (JTB)</t>
  </si>
  <si>
    <t>DAILY INSPECTION JT 80T</t>
  </si>
  <si>
    <t xml:space="preserve"> (LF)</t>
  </si>
  <si>
    <t>SERVICE 250 JAM LUFFING CRANE WIKA-LELANGON</t>
  </si>
  <si>
    <t>SERVICE 1000 JAM LUFFING CRANE WIKA-LELANGON</t>
  </si>
  <si>
    <t>SERVICE 2000 JAM LUFFING CRANE WIKA-LELANGON</t>
  </si>
  <si>
    <t>DAILY INSPECTION LUFFING CRANE WIKA-LELANGON</t>
  </si>
  <si>
    <t xml:space="preserve"> (BUCKET)</t>
  </si>
  <si>
    <t xml:space="preserve"> (EH)</t>
  </si>
  <si>
    <t>DAILY INSPECTION EH DCT 80 TAD 760 VE</t>
  </si>
  <si>
    <t>SERVICE 250 JAM EH DCT 80 TAD 760 VE</t>
  </si>
  <si>
    <t>SERVICE 500 JAM EH DCT 80 TAD 760 VE</t>
  </si>
  <si>
    <t>SERVICE 1000 JAM  EH DCT 80 TAD 760 VE</t>
  </si>
  <si>
    <t>SERVICE 2000 JAM  EH DCT 80 TAD 760 VE</t>
  </si>
  <si>
    <t>CONVEYOR</t>
  </si>
  <si>
    <t>GREASING</t>
  </si>
  <si>
    <t>PELUMASAN</t>
  </si>
  <si>
    <t>PENGECEKAN MANLIFT &amp; GREASING REL MANLIFT</t>
  </si>
  <si>
    <t>PENGECEKAN SERVICE HOIST</t>
  </si>
  <si>
    <t>CLEANING PANEL AREA</t>
  </si>
  <si>
    <t>CLEANING PANEL OUTDOOR</t>
  </si>
  <si>
    <t>CHECK DUMPER CHUTE</t>
  </si>
  <si>
    <t>CHECK BUFFER HOPPER</t>
  </si>
  <si>
    <t>CHECK SENSOR</t>
  </si>
  <si>
    <t>CHECK AND CLEANING SAFETY DEVICE</t>
  </si>
  <si>
    <t>CLEANING &amp; CHECK DRIVE PANEL</t>
  </si>
  <si>
    <t>CLEANING CUBICLE PANEL</t>
  </si>
  <si>
    <t>CHECK CABLE TRAY &amp; TERMINATION</t>
  </si>
  <si>
    <t>CLEANING PC CONTROL ROOM</t>
  </si>
  <si>
    <t>CHANGE GEARBOX OIL BC01</t>
  </si>
  <si>
    <t>CHANGE GEARBOX OIL BC02</t>
  </si>
  <si>
    <t>CHANGE GEARBOX OIL BC03</t>
  </si>
  <si>
    <t>CHANGE GEARBOX OIL TC</t>
  </si>
  <si>
    <t>CHECK COUNTER WEIGHT</t>
  </si>
  <si>
    <t>INSULATION MOTOR</t>
  </si>
  <si>
    <t xml:space="preserve"> INSTALASI DAN ALAT BANTU</t>
  </si>
  <si>
    <t>PELAYANAN BONGKAR MUAT KAPAL BERLIAN MIRAH</t>
  </si>
  <si>
    <t>PENYEDIAAN TANGGA TKBM MIRAH</t>
  </si>
  <si>
    <t>PENGECEKAN / PENGGANTIAN WIRE ROPE SPREADER MIRAH</t>
  </si>
  <si>
    <t>SETTING ALATA HMC UNTUK KAPAL BARU DAN PERGESERAN ALAT HMC</t>
  </si>
  <si>
    <t>PENGECEKAN GARDU EXSISTING 20 KV</t>
  </si>
  <si>
    <t>PENGECEKAN KIOS Q 1</t>
  </si>
  <si>
    <t>PENGECEKAN KIOS Q 2</t>
  </si>
  <si>
    <t>PENGECEKAN KIOS Q 3</t>
  </si>
  <si>
    <t>PENGECEKAN KIOS Q 4</t>
  </si>
  <si>
    <t>PENGECEKAN KIOS Q 5</t>
  </si>
  <si>
    <t>PENGECEKAN KIOS Q 6</t>
  </si>
  <si>
    <t>PENGECEKAN COPLER</t>
  </si>
  <si>
    <t>PENGECEKAN GENERATOR 52 ( GATE OUT BERLIAN )</t>
  </si>
  <si>
    <t>PENGECEKAN GENERATOR 53 ( DEPO PTPN )</t>
  </si>
  <si>
    <t>PENGECEKAN GENERATOR 54 ( GATE BERLIAN )</t>
  </si>
  <si>
    <t>PENGECEKAN GENERATOR 56 ( DEUZT DEPO UNGGUL )</t>
  </si>
  <si>
    <t>PENGECEKAN GENERATOR 57( MITSUBISHI DEPO UNGGUL )</t>
  </si>
  <si>
    <t>PENGECEKAN GENERATOR 58 ( DEPO UDATIN )</t>
  </si>
  <si>
    <t>SERVICE GENERATOR 52 ( GATE OUT BERLIAN )</t>
  </si>
  <si>
    <t>SERVICE GENERATOR 53 ( DEPO PTPN )</t>
  </si>
  <si>
    <t>SERVICE GENERATOR 54 ( GATE BERLIAN )</t>
  </si>
  <si>
    <t>SERVICE GENERATOR 56 ( DEUZT DEPO UNGGUL )</t>
  </si>
  <si>
    <t>SERVICE GENERATOR 57( MITSUBISHI DEPO UNGGUL )</t>
  </si>
  <si>
    <t>SERVICE GENERATOR 58 ( DEPO UDATIN )</t>
  </si>
  <si>
    <t>PENGECEKAN JEMBATAN TIMBANG DEPO MERATUS UDATIN</t>
  </si>
  <si>
    <t>PENGECEKAN JEMBATAN TIMBANG 02 GATE IN BERLIAN</t>
  </si>
  <si>
    <t>PENGECEKAN JEMBATAN TIMBANG 03 GATE IN BERLIAN</t>
  </si>
  <si>
    <t>PENGECEKAN JEMBATAN TIMBANG 04 GATE IN BERLIAN</t>
  </si>
  <si>
    <t>PENGECEKAN INCOOMING 20 KV</t>
  </si>
  <si>
    <t>PENGECEKAN OUTGOING 20 KV</t>
  </si>
  <si>
    <t>PENGECEKAN TRAFO</t>
  </si>
  <si>
    <t>PENGECEKAN PANEL LSDP</t>
  </si>
  <si>
    <t>PENGECEKAN PANEL ATS</t>
  </si>
  <si>
    <t>PENGECEKAN PANEL LMDP1600A</t>
  </si>
  <si>
    <t>PENGECEKAN PANEL POWER CAPASITOR</t>
  </si>
  <si>
    <t>PENGECEKAN PANEL CAPASITOR BANK</t>
  </si>
  <si>
    <t>PENGECEKAN SEGMENT 01</t>
  </si>
  <si>
    <t>PENGECEKAN SEGMENT 02</t>
  </si>
  <si>
    <t>PENGECEKAN SEGMENT 03</t>
  </si>
  <si>
    <t>PENGECEKAN PORTABEL 01</t>
  </si>
  <si>
    <t>GRAB SHIP UNLOADER</t>
  </si>
  <si>
    <t>GREASING WIREROPE HOLD</t>
  </si>
  <si>
    <t>GREASING WIREROPE OPEN/CLOSE</t>
  </si>
  <si>
    <t>GREASING WIREROPE SPILLPLATE</t>
  </si>
  <si>
    <t>GREASING WIREROPE GRAB</t>
  </si>
  <si>
    <t>GREASING WIREROPE CATENARY</t>
  </si>
  <si>
    <t>GREASING HOIST PULLEY</t>
  </si>
  <si>
    <t>GREASING LUFFING PULLEY</t>
  </si>
  <si>
    <t>GREASING TROLLEY WHEEL SET</t>
  </si>
  <si>
    <t>GREASING GUIDE TROLLEY WHEEL SET</t>
  </si>
  <si>
    <t>GREASING BEARING BLOCK OF LIFTING DRUM</t>
  </si>
  <si>
    <t>GREASING ELASTIC COUPLING</t>
  </si>
  <si>
    <t>GREASING COUPLING HOLD AND CLOSE DRUM</t>
  </si>
  <si>
    <t>GREASING COUPLING OF BOOM LUFFING DRUM</t>
  </si>
  <si>
    <t>GREASING PEAR SOCKET DAN QUICK RELEASE</t>
  </si>
  <si>
    <t>GREASING GRAB PIN</t>
  </si>
  <si>
    <t>LUBRICANT CABLE CARRIAGE</t>
  </si>
  <si>
    <t>LUBRICANT PIN SHAFT AND PIVOTS OF BRAKE</t>
  </si>
  <si>
    <t>SERVICE AC</t>
  </si>
  <si>
    <t>CLEANING JUNTION BOX</t>
  </si>
  <si>
    <t>MEASURING WIREROPE</t>
  </si>
  <si>
    <t>CHECKING ALL SENSORS</t>
  </si>
  <si>
    <t>CHECKING CABLE CONNECTION</t>
  </si>
  <si>
    <t>DPT QUICK RELEASE DAN PEARSOCKET</t>
  </si>
  <si>
    <t>GREASING PULLEY OF GANTRY TRAVEL</t>
  </si>
  <si>
    <t>LUBRICANT POINT OF LIMIT SWITCH</t>
  </si>
  <si>
    <t>LUBRICANT POINT OF CABLE REEL</t>
  </si>
  <si>
    <t>LUBRICANT POINT OF ELEVATOR</t>
  </si>
  <si>
    <t>CHECKING AND CLEANING CABLE TRAY</t>
  </si>
  <si>
    <t>LUBRICANT TRAVELLING WHEEL SET OF MAINT. CRANE</t>
  </si>
  <si>
    <t>GREASING CATENARY TROLLEY SHEAVE</t>
  </si>
  <si>
    <t>CHECKING ENCODER</t>
  </si>
  <si>
    <t>GREASING WIREROPE BOOM</t>
  </si>
  <si>
    <t>CHANGE OIL RAIL BRAKE</t>
  </si>
  <si>
    <t>CHECK CABLE GROUNDING</t>
  </si>
  <si>
    <t>CHECK INSULATION MOTOR</t>
  </si>
  <si>
    <t>CHECK VIBRATION MOTOR</t>
  </si>
  <si>
    <t>CLEANING AND CHECKING TRAVO</t>
  </si>
  <si>
    <t>THRUSTER BRAKE OIL</t>
  </si>
  <si>
    <t>CHANGE FILTER OIL HOLD AND OPEN-CLOSE</t>
  </si>
  <si>
    <t>CHANGE OIL CYLINDER WINDWALL</t>
  </si>
  <si>
    <t>CHANGE OIL CYLINDER HOPPER DOOR</t>
  </si>
  <si>
    <t>CHANGE OIL EMERGENCY BRAKE BOOM</t>
  </si>
  <si>
    <t>CHANGE OIL GEARBOX HOLD</t>
  </si>
  <si>
    <t>CHANGE OIL GEARBOX OPEN CLOSE</t>
  </si>
  <si>
    <t>CHANGE OIL GEARBOX FOR GANTRY TRAVEL</t>
  </si>
  <si>
    <t>CHANGE OIL GEARBOX FOR MAINTENANCE CRANE TRAVEL</t>
  </si>
  <si>
    <t>CHANGE OIL GEARBOX FOR CABIN TRAVEL</t>
  </si>
  <si>
    <t>CHANGE OIL GEARBOX FOR ELEVATOR</t>
  </si>
  <si>
    <t>CHANGE OIL GEARBOX FOR BOOM HOIST</t>
  </si>
  <si>
    <t>CHANGE OIL GEARBOX FOR SPILLPLATE</t>
  </si>
  <si>
    <t>CHANGE OIL GEARBOX FOR BELT FEEDER</t>
  </si>
  <si>
    <t>CHANGE OIL GEARBOX FOR CABLE REEL</t>
  </si>
  <si>
    <t>CHANGE OIL GEARBOX EMERGENCY OPEN-CLOSE</t>
  </si>
  <si>
    <t>CHANGE OIL GEARBOX EMERGENCY HOLD</t>
  </si>
  <si>
    <t>CHANGE OIL GEARBOX EMERGENCY TROLLEY</t>
  </si>
  <si>
    <t>CHANGE OIL GEARBOX EMERGENCY BOOM</t>
  </si>
  <si>
    <t>CHANGE WIREROPE GRAB</t>
  </si>
  <si>
    <t>CHANGE WIREROPE OPEN-CLOSE</t>
  </si>
  <si>
    <t>CHANGE WIREROPE HOLD</t>
  </si>
  <si>
    <t>CHANGE WIREROPE BOOM</t>
  </si>
  <si>
    <t>LUFFING CRANE ENGINE</t>
  </si>
  <si>
    <t>PM 1 MONTH</t>
  </si>
  <si>
    <t>PM 2 MONTH</t>
  </si>
  <si>
    <t>PM 3 MONTH</t>
  </si>
  <si>
    <t>PM 6 MONTH</t>
  </si>
  <si>
    <t>PM 1 YEAR</t>
  </si>
  <si>
    <t>OIL ANALYSYS</t>
  </si>
  <si>
    <t>SERVICE ENGINE 250</t>
  </si>
  <si>
    <t>SERVICE ENGINE 500</t>
  </si>
  <si>
    <t>SERVICE ENGINE 1000</t>
  </si>
  <si>
    <t>SERVICE ENGINE 2000</t>
  </si>
  <si>
    <t>LUFFING CRANE ELEKTRIK</t>
  </si>
  <si>
    <t xml:space="preserve"> (ARTG)</t>
  </si>
  <si>
    <t>DAILY INSPECTION ARTG</t>
  </si>
  <si>
    <t>PM 1 MONTH INSPECTION ARTG</t>
  </si>
  <si>
    <t>PM 2 MONTH CHECK &amp; GREASE WIREROPE ARTG</t>
  </si>
  <si>
    <t>PM 2 MONTH CHECK BRAKE</t>
  </si>
  <si>
    <t>PM 3 MONTH GREASE PIN BEARING</t>
  </si>
  <si>
    <t>PM 3 MONTH INSPECTION</t>
  </si>
  <si>
    <t>PM 3 MONTH SERVICE AC</t>
  </si>
  <si>
    <t>PM 1 YEARLY CHANGE OIL GEARBOX</t>
  </si>
  <si>
    <t>PM 1 YEAR INSULATION</t>
  </si>
  <si>
    <t>PM 1 YEARLY REPLACE WIREROPE</t>
  </si>
  <si>
    <t>PM 1 YEAR INSULATION MAIN POWER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</si>
</sst>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0"/>
      <color rgb="FF000000"/>
      <name val="Arial"/>
      <scheme val="minor"/>
    </font>
    <font>
      <b/>
      <sz val="11"/>
      <color rgb="FFFF0000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b/>
      <sz val="11"/>
      <color theme="1"/>
      <name val="Calibri"/>
    </font>
    <font>
      <sz val="1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</font>
    <font>
      <sz val="13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1" fontId="3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2" fontId="3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2" xfId="0" applyFont="1" applyBorder="1"/>
    <xf numFmtId="0" fontId="5" fillId="0" borderId="5" xfId="0" applyFont="1" applyBorder="1"/>
    <xf numFmtId="0" fontId="5" fillId="0" borderId="6" xfId="0" applyFont="1" applyBorder="1"/>
    <xf numFmtId="0" fontId="4" fillId="4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4" fillId="5" borderId="3" xfId="0" applyNumberFormat="1" applyFont="1" applyFill="1" applyBorder="1" applyAlignment="1">
      <alignment horizontal="center" vertical="center"/>
    </xf>
    <xf numFmtId="0" fontId="2" fillId="0" borderId="0" xfId="0" applyFont="1"/>
    <xf numFmtId="1" fontId="4" fillId="0" borderId="6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 wrapText="1"/>
    </xf>
    <xf numFmtId="1" fontId="4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5" fillId="0" borderId="7" xfId="0" applyFont="1" applyBorder="1"/>
    <xf numFmtId="0" fontId="7" fillId="0" borderId="8" xfId="0" applyFont="1" applyBorder="1"/>
    <xf numFmtId="0" fontId="7" fillId="0" borderId="7" xfId="0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0" applyNumberFormat="1" applyFont="1"/>
    <xf numFmtId="0" fontId="8" fillId="0" borderId="3" xfId="0" applyFont="1" applyBorder="1"/>
    <xf numFmtId="1" fontId="3" fillId="0" borderId="3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0" fontId="9" fillId="0" borderId="3" xfId="0" applyNumberFormat="1" applyFont="1" applyBorder="1" applyAlignment="1">
      <alignment horizontal="center" vertical="center"/>
    </xf>
    <xf numFmtId="2" fontId="4" fillId="8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urrta/Downloads/PERH.%20PERSONIL%20ANALISA%20(5%20SITE).xlsx" TargetMode="External"/><Relationship Id="rId2" Type="http://schemas.openxmlformats.org/officeDocument/2006/relationships/externalLinkPath" Target="file:///C:\Users\urrta\Downloads\PERH.%20PERSONIL%20ANALISA%20(5%20SITE).xlsx" TargetMode="External"/><Relationship Id="rId1" Type="http://schemas.openxmlformats.org/officeDocument/2006/relationships/externalLinkPath" Target="/Users/urrta/Downloads/PERH.%20PERSONIL%20ANALISA%20(5%20SIT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N TEKNISI"/>
      <sheetName val="1. JUMLAH ALAT"/>
      <sheetName val="2. JOB PLAN"/>
      <sheetName val="3, 4 , 5 PERHITUNGAN"/>
      <sheetName val="6. SUMMARY MANPOWER NEW"/>
      <sheetName val="MASTER RUMUS SITE"/>
    </sheetNames>
    <sheetDataSet>
      <sheetData sheetId="0"/>
      <sheetData sheetId="1"/>
      <sheetData sheetId="2"/>
      <sheetData sheetId="3">
        <row r="1">
          <cell r="K1" t="str">
            <v>SEMARANG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9EC1-DE98-467B-B9C8-E4774ECCF2AE}">
  <sheetPr>
    <tabColor theme="4"/>
  </sheetPr>
  <dimension ref="A1:H1000"/>
  <sheetViews>
    <sheetView tabSelected="1" topLeftCell="A27" workbookViewId="0">
      <selection activeCell="H39" sqref="H39"/>
    </sheetView>
  </sheetViews>
  <sheetFormatPr defaultColWidth="12.61328125" defaultRowHeight="15" customHeight="1" x14ac:dyDescent="0.3"/>
  <cols>
    <col min="1" max="1" width="46.4609375" customWidth="1"/>
    <col min="2" max="2" width="14.15234375" customWidth="1"/>
    <col min="3" max="3" width="9.84375" customWidth="1"/>
    <col min="4" max="4" width="17.61328125" customWidth="1"/>
    <col min="5" max="5" width="11.61328125" customWidth="1"/>
    <col min="6" max="6" width="5.84375" hidden="1" customWidth="1"/>
  </cols>
  <sheetData>
    <row r="1" spans="1:6" ht="14.25" customHeight="1" x14ac:dyDescent="0.4">
      <c r="B1" s="1"/>
      <c r="C1" s="2"/>
      <c r="D1" s="3"/>
      <c r="E1" s="3"/>
    </row>
    <row r="2" spans="1:6" ht="14.25" customHeight="1" x14ac:dyDescent="0.4">
      <c r="B2" s="3"/>
      <c r="C2" s="2"/>
      <c r="D2" s="3"/>
      <c r="E2" s="3"/>
    </row>
    <row r="3" spans="1:6" ht="24.75" customHeight="1" x14ac:dyDescent="0.3">
      <c r="A3" s="5" t="s">
        <v>0</v>
      </c>
      <c r="B3" s="6"/>
      <c r="C3" s="6"/>
      <c r="D3" s="6"/>
      <c r="E3" s="6"/>
      <c r="F3" s="7">
        <v>2</v>
      </c>
    </row>
    <row r="4" spans="1:6" ht="24.75" customHeight="1" x14ac:dyDescent="0.3">
      <c r="A4" s="8" t="s">
        <v>1</v>
      </c>
      <c r="B4" s="9" t="s">
        <v>2</v>
      </c>
      <c r="C4" s="10" t="s">
        <v>3</v>
      </c>
      <c r="D4" s="9" t="s">
        <v>4</v>
      </c>
      <c r="E4" s="9" t="s">
        <v>5</v>
      </c>
      <c r="F4" s="4"/>
    </row>
    <row r="5" spans="1:6" ht="24.75" customHeight="1" x14ac:dyDescent="0.3">
      <c r="A5" s="11" t="s">
        <v>6</v>
      </c>
      <c r="B5" s="9">
        <v>82.5</v>
      </c>
      <c r="C5" s="10">
        <f t="shared" ref="C5:C10" si="0">B5/60</f>
        <v>1.375</v>
      </c>
      <c r="D5" s="9">
        <v>365</v>
      </c>
      <c r="E5" s="12">
        <f t="shared" ref="E5:E10" si="1">D5*C5</f>
        <v>501.875</v>
      </c>
      <c r="F5" s="4"/>
    </row>
    <row r="6" spans="1:6" ht="24.75" customHeight="1" x14ac:dyDescent="0.3">
      <c r="A6" s="11" t="s">
        <v>7</v>
      </c>
      <c r="B6" s="9">
        <v>270</v>
      </c>
      <c r="C6" s="10">
        <f t="shared" si="0"/>
        <v>4.5</v>
      </c>
      <c r="D6" s="9">
        <f>IF('[1]3, 4 , 5 PERHITUNGAN'!$K$1="semarang",F6*3,IF('[1]3, 4 , 5 PERHITUNGAN'!$K$1="banjarmasin-sptp",F6*3,F6))</f>
        <v>36</v>
      </c>
      <c r="E6" s="9">
        <f t="shared" si="1"/>
        <v>162</v>
      </c>
      <c r="F6" s="4">
        <v>12</v>
      </c>
    </row>
    <row r="7" spans="1:6" ht="24.75" customHeight="1" x14ac:dyDescent="0.3">
      <c r="A7" s="11" t="s">
        <v>8</v>
      </c>
      <c r="B7" s="9">
        <v>405</v>
      </c>
      <c r="C7" s="10">
        <f t="shared" si="0"/>
        <v>6.75</v>
      </c>
      <c r="D7" s="9">
        <f>IF('[1]3, 4 , 5 PERHITUNGAN'!$K$1="semarang",F7*3,IF('[1]3, 4 , 5 PERHITUNGAN'!$K$1="banjarmasin-sptp",F7*3,F7))</f>
        <v>18</v>
      </c>
      <c r="E7" s="9">
        <f t="shared" si="1"/>
        <v>121.5</v>
      </c>
      <c r="F7" s="4">
        <v>6</v>
      </c>
    </row>
    <row r="8" spans="1:6" ht="24.75" customHeight="1" x14ac:dyDescent="0.3">
      <c r="A8" s="11" t="s">
        <v>9</v>
      </c>
      <c r="B8" s="9">
        <v>765</v>
      </c>
      <c r="C8" s="10">
        <f t="shared" si="0"/>
        <v>12.75</v>
      </c>
      <c r="D8" s="9">
        <f>IF('[1]3, 4 , 5 PERHITUNGAN'!$K$1="semarang",F8*3,IF('[1]3, 4 , 5 PERHITUNGAN'!$K$1="banjarmasin-sptp",F8*3,F8))</f>
        <v>9</v>
      </c>
      <c r="E8" s="12">
        <f t="shared" si="1"/>
        <v>114.75</v>
      </c>
      <c r="F8" s="4">
        <v>3</v>
      </c>
    </row>
    <row r="9" spans="1:6" ht="24.75" customHeight="1" x14ac:dyDescent="0.3">
      <c r="A9" s="11" t="s">
        <v>10</v>
      </c>
      <c r="B9" s="9">
        <v>900</v>
      </c>
      <c r="C9" s="10">
        <f t="shared" si="0"/>
        <v>15</v>
      </c>
      <c r="D9" s="9">
        <f>IF('[1]3, 4 , 5 PERHITUNGAN'!$K$1="semarang",F9*3,IF('[1]3, 4 , 5 PERHITUNGAN'!$K$1="banjarmasin-sptp",F9*3,F9))</f>
        <v>9</v>
      </c>
      <c r="E9" s="9">
        <f t="shared" si="1"/>
        <v>135</v>
      </c>
      <c r="F9" s="4">
        <v>3</v>
      </c>
    </row>
    <row r="10" spans="1:6" ht="24.75" customHeight="1" x14ac:dyDescent="0.3">
      <c r="A10" s="11" t="s">
        <v>11</v>
      </c>
      <c r="B10" s="9">
        <v>240</v>
      </c>
      <c r="C10" s="10">
        <f t="shared" si="0"/>
        <v>4</v>
      </c>
      <c r="D10" s="9">
        <f>IF('[1]3, 4 , 5 PERHITUNGAN'!$K$1="semarang",F10*3,IF('[1]3, 4 , 5 PERHITUNGAN'!$K$1="banjarmasin-sptp",F10*3,F10))</f>
        <v>24</v>
      </c>
      <c r="E10" s="9">
        <f t="shared" si="1"/>
        <v>96</v>
      </c>
      <c r="F10" s="4">
        <v>8</v>
      </c>
    </row>
    <row r="11" spans="1:6" ht="24.75" customHeight="1" x14ac:dyDescent="0.3">
      <c r="A11" s="13" t="s">
        <v>12</v>
      </c>
      <c r="B11" s="14"/>
      <c r="C11" s="14"/>
      <c r="D11" s="15"/>
      <c r="E11" s="16">
        <f>SUM(E5:E10)</f>
        <v>1131.125</v>
      </c>
      <c r="F11" s="4"/>
    </row>
    <row r="12" spans="1:6" ht="24.75" customHeight="1" x14ac:dyDescent="0.3">
      <c r="A12" s="4"/>
      <c r="B12" s="17"/>
      <c r="C12" s="18"/>
      <c r="D12" s="17"/>
      <c r="E12" s="17"/>
      <c r="F12" s="4"/>
    </row>
    <row r="13" spans="1:6" ht="24.75" customHeight="1" x14ac:dyDescent="0.3">
      <c r="A13" s="5" t="s">
        <v>13</v>
      </c>
      <c r="B13" s="6"/>
      <c r="C13" s="6"/>
      <c r="D13" s="6"/>
      <c r="E13" s="6"/>
      <c r="F13" s="7">
        <v>2</v>
      </c>
    </row>
    <row r="14" spans="1:6" ht="24.75" customHeight="1" x14ac:dyDescent="0.3">
      <c r="A14" s="8" t="s">
        <v>1</v>
      </c>
      <c r="B14" s="9" t="s">
        <v>2</v>
      </c>
      <c r="C14" s="10" t="s">
        <v>3</v>
      </c>
      <c r="D14" s="9" t="s">
        <v>4</v>
      </c>
      <c r="E14" s="9" t="s">
        <v>5</v>
      </c>
      <c r="F14" s="4"/>
    </row>
    <row r="15" spans="1:6" ht="24.75" customHeight="1" x14ac:dyDescent="0.3">
      <c r="A15" s="11" t="s">
        <v>6</v>
      </c>
      <c r="B15" s="19">
        <v>67.5</v>
      </c>
      <c r="C15" s="19">
        <f t="shared" ref="C15:C20" si="2">B15/60</f>
        <v>1.125</v>
      </c>
      <c r="D15" s="9">
        <v>365</v>
      </c>
      <c r="E15" s="19">
        <f t="shared" ref="E15:E20" si="3">D15*C15</f>
        <v>410.625</v>
      </c>
      <c r="F15" s="4"/>
    </row>
    <row r="16" spans="1:6" ht="24.75" customHeight="1" x14ac:dyDescent="0.3">
      <c r="A16" s="11" t="s">
        <v>7</v>
      </c>
      <c r="B16" s="12">
        <v>180</v>
      </c>
      <c r="C16" s="12">
        <f t="shared" si="2"/>
        <v>3</v>
      </c>
      <c r="D16" s="9">
        <f>IF('[1]3, 4 , 5 PERHITUNGAN'!$K$1="semarang",F16*3,IF('[1]3, 4 , 5 PERHITUNGAN'!$K$1="banjarmasin",F16*2,IF('[1]3, 4 , 5 PERHITUNGAN'!$K$1="banjarmasin-sptp",F16*2,IF('[1]3, 4 , 5 PERHITUNGAN'!$K$1="tps",F16-6,F16))))</f>
        <v>36</v>
      </c>
      <c r="E16" s="12">
        <f t="shared" si="3"/>
        <v>108</v>
      </c>
      <c r="F16" s="4">
        <v>12</v>
      </c>
    </row>
    <row r="17" spans="1:6" ht="24.75" customHeight="1" x14ac:dyDescent="0.3">
      <c r="A17" s="11" t="s">
        <v>8</v>
      </c>
      <c r="B17" s="12">
        <v>285</v>
      </c>
      <c r="C17" s="19">
        <f t="shared" si="2"/>
        <v>4.75</v>
      </c>
      <c r="D17" s="9">
        <f>IF('[1]3, 4 , 5 PERHITUNGAN'!$K$1="semarang",F17*3,IF('[1]3, 4 , 5 PERHITUNGAN'!$K$1="banjarmasin",F17*2,IF('[1]3, 4 , 5 PERHITUNGAN'!$K$1="banjarmasin-sptp",F17*2,IF('[1]3, 4 , 5 PERHITUNGAN'!$K$1="tps",F17-3,F17))))</f>
        <v>18</v>
      </c>
      <c r="E17" s="19">
        <f t="shared" si="3"/>
        <v>85.5</v>
      </c>
      <c r="F17" s="4">
        <v>6</v>
      </c>
    </row>
    <row r="18" spans="1:6" ht="24.75" customHeight="1" x14ac:dyDescent="0.3">
      <c r="A18" s="11" t="s">
        <v>9</v>
      </c>
      <c r="B18" s="12">
        <v>765</v>
      </c>
      <c r="C18" s="19">
        <f t="shared" si="2"/>
        <v>12.75</v>
      </c>
      <c r="D18" s="9">
        <f>IF('[1]3, 4 , 5 PERHITUNGAN'!$K$1="semarang",F18*3,IF('[1]3, 4 , 5 PERHITUNGAN'!$K$1="banjarmasin",F18*2,IF('[1]3, 4 , 5 PERHITUNGAN'!$K$1="banjarmasin-sptp",F18*2,IF('[1]3, 4 , 5 PERHITUNGAN'!$K$1="tps",F18-2,F18))))</f>
        <v>9</v>
      </c>
      <c r="E18" s="19">
        <f t="shared" si="3"/>
        <v>114.75</v>
      </c>
      <c r="F18" s="4">
        <v>3</v>
      </c>
    </row>
    <row r="19" spans="1:6" ht="24.75" customHeight="1" x14ac:dyDescent="0.3">
      <c r="A19" s="11" t="s">
        <v>10</v>
      </c>
      <c r="B19" s="12">
        <v>900</v>
      </c>
      <c r="C19" s="12">
        <f t="shared" si="2"/>
        <v>15</v>
      </c>
      <c r="D19" s="9">
        <f>IF('[1]3, 4 , 5 PERHITUNGAN'!$K$1="semarang",F19*3,IF('[1]3, 4 , 5 PERHITUNGAN'!$K$1="banjarmasin",F19*2,IF('[1]3, 4 , 5 PERHITUNGAN'!$K$1="banjarmasin-sptp",F19*2,IF('[1]3, 4 , 5 PERHITUNGAN'!$K$1="tps",F19-2,F19))))</f>
        <v>9</v>
      </c>
      <c r="E19" s="12">
        <f t="shared" si="3"/>
        <v>135</v>
      </c>
      <c r="F19" s="4">
        <v>3</v>
      </c>
    </row>
    <row r="20" spans="1:6" ht="24.75" customHeight="1" x14ac:dyDescent="0.3">
      <c r="A20" s="11" t="s">
        <v>11</v>
      </c>
      <c r="B20" s="12">
        <v>240</v>
      </c>
      <c r="C20" s="12">
        <f t="shared" si="2"/>
        <v>4</v>
      </c>
      <c r="D20" s="9">
        <f>IF('[1]3, 4 , 5 PERHITUNGAN'!$K$1="semarang",F20*3,IF('[1]3, 4 , 5 PERHITUNGAN'!$K$1="banjarmasin",F20*2,IF('[1]3, 4 , 5 PERHITUNGAN'!$K$1="banjarmasin-sptp",F20*2,F20)))</f>
        <v>24</v>
      </c>
      <c r="E20" s="12">
        <f t="shared" si="3"/>
        <v>96</v>
      </c>
      <c r="F20" s="4">
        <v>8</v>
      </c>
    </row>
    <row r="21" spans="1:6" ht="24.75" customHeight="1" x14ac:dyDescent="0.3">
      <c r="A21" s="13" t="s">
        <v>12</v>
      </c>
      <c r="B21" s="14"/>
      <c r="C21" s="14"/>
      <c r="D21" s="15"/>
      <c r="E21" s="16">
        <f>SUM(E15:E20)</f>
        <v>949.875</v>
      </c>
      <c r="F21" s="4"/>
    </row>
    <row r="22" spans="1:6" ht="24.75" customHeight="1" x14ac:dyDescent="0.3">
      <c r="A22" s="4"/>
      <c r="B22" s="17"/>
      <c r="C22" s="18"/>
      <c r="D22" s="17"/>
      <c r="E22" s="17"/>
      <c r="F22" s="4"/>
    </row>
    <row r="23" spans="1:6" ht="24.75" customHeight="1" x14ac:dyDescent="0.3">
      <c r="A23" s="4"/>
      <c r="B23" s="17"/>
      <c r="C23" s="18"/>
      <c r="D23" s="17"/>
      <c r="E23" s="17"/>
      <c r="F23" s="4"/>
    </row>
    <row r="24" spans="1:6" ht="24.75" customHeight="1" x14ac:dyDescent="0.3">
      <c r="A24" s="5" t="s">
        <v>14</v>
      </c>
      <c r="B24" s="6"/>
      <c r="C24" s="6"/>
      <c r="D24" s="6"/>
      <c r="E24" s="6"/>
      <c r="F24" s="7">
        <v>2</v>
      </c>
    </row>
    <row r="25" spans="1:6" ht="24.75" customHeight="1" x14ac:dyDescent="0.3">
      <c r="A25" s="8" t="s">
        <v>1</v>
      </c>
      <c r="B25" s="9" t="s">
        <v>2</v>
      </c>
      <c r="C25" s="10" t="s">
        <v>3</v>
      </c>
      <c r="D25" s="9" t="s">
        <v>4</v>
      </c>
      <c r="E25" s="9" t="s">
        <v>5</v>
      </c>
      <c r="F25" s="4"/>
    </row>
    <row r="26" spans="1:6" ht="24.75" customHeight="1" x14ac:dyDescent="0.3">
      <c r="A26" s="11" t="s">
        <v>6</v>
      </c>
      <c r="B26" s="9">
        <v>45</v>
      </c>
      <c r="C26" s="10">
        <f t="shared" ref="C26:C31" si="4">B26/60</f>
        <v>0.75</v>
      </c>
      <c r="D26" s="9">
        <v>365</v>
      </c>
      <c r="E26" s="12">
        <f t="shared" ref="E26:E31" si="5">D26*C26</f>
        <v>273.75</v>
      </c>
      <c r="F26" s="4"/>
    </row>
    <row r="27" spans="1:6" ht="24.75" customHeight="1" x14ac:dyDescent="0.3">
      <c r="A27" s="11" t="s">
        <v>15</v>
      </c>
      <c r="B27" s="9">
        <v>45</v>
      </c>
      <c r="C27" s="10">
        <f t="shared" si="4"/>
        <v>0.75</v>
      </c>
      <c r="D27" s="9">
        <f>IF('[1]3, 4 , 5 PERHITUNGAN'!$K$1="semarang",F27*3,F27)</f>
        <v>36</v>
      </c>
      <c r="E27" s="9">
        <f t="shared" si="5"/>
        <v>27</v>
      </c>
      <c r="F27" s="4">
        <v>12</v>
      </c>
    </row>
    <row r="28" spans="1:6" ht="24.75" customHeight="1" x14ac:dyDescent="0.3">
      <c r="A28" s="11" t="s">
        <v>8</v>
      </c>
      <c r="B28" s="9">
        <v>45</v>
      </c>
      <c r="C28" s="10">
        <f t="shared" si="4"/>
        <v>0.75</v>
      </c>
      <c r="D28" s="9">
        <f>IF('[1]3, 4 , 5 PERHITUNGAN'!$K$1="semarang",F28*3,F28)</f>
        <v>18</v>
      </c>
      <c r="E28" s="9">
        <f t="shared" si="5"/>
        <v>13.5</v>
      </c>
      <c r="F28" s="4">
        <v>6</v>
      </c>
    </row>
    <row r="29" spans="1:6" ht="24.75" customHeight="1" x14ac:dyDescent="0.3">
      <c r="A29" s="11" t="s">
        <v>9</v>
      </c>
      <c r="B29" s="9">
        <v>45</v>
      </c>
      <c r="C29" s="10">
        <f t="shared" si="4"/>
        <v>0.75</v>
      </c>
      <c r="D29" s="9">
        <f>IF('[1]3, 4 , 5 PERHITUNGAN'!$K$1="semarang",F29*3,F29)</f>
        <v>9</v>
      </c>
      <c r="E29" s="12">
        <f t="shared" si="5"/>
        <v>6.75</v>
      </c>
      <c r="F29" s="4">
        <v>3</v>
      </c>
    </row>
    <row r="30" spans="1:6" ht="24.75" customHeight="1" x14ac:dyDescent="0.3">
      <c r="A30" s="11" t="s">
        <v>10</v>
      </c>
      <c r="B30" s="9">
        <v>135</v>
      </c>
      <c r="C30" s="10">
        <f t="shared" si="4"/>
        <v>2.25</v>
      </c>
      <c r="D30" s="9">
        <f>IF('[1]3, 4 , 5 PERHITUNGAN'!$K$1="semarang",F30*3,F30)</f>
        <v>9</v>
      </c>
      <c r="E30" s="9">
        <f t="shared" si="5"/>
        <v>20.25</v>
      </c>
      <c r="F30" s="4">
        <v>3</v>
      </c>
    </row>
    <row r="31" spans="1:6" ht="24.75" customHeight="1" x14ac:dyDescent="0.3">
      <c r="A31" s="11" t="s">
        <v>11</v>
      </c>
      <c r="B31" s="9">
        <v>240</v>
      </c>
      <c r="C31" s="10">
        <f t="shared" si="4"/>
        <v>4</v>
      </c>
      <c r="D31" s="9">
        <f>IF('[1]3, 4 , 5 PERHITUNGAN'!$K$1="semarang",F31*3,F31)</f>
        <v>24</v>
      </c>
      <c r="E31" s="9">
        <f t="shared" si="5"/>
        <v>96</v>
      </c>
      <c r="F31" s="4">
        <v>8</v>
      </c>
    </row>
    <row r="32" spans="1:6" ht="24.75" customHeight="1" x14ac:dyDescent="0.3">
      <c r="A32" s="13" t="s">
        <v>12</v>
      </c>
      <c r="B32" s="14"/>
      <c r="C32" s="14"/>
      <c r="D32" s="15"/>
      <c r="E32" s="20">
        <f>SUM(E26:E31)</f>
        <v>437.25</v>
      </c>
      <c r="F32" s="4"/>
    </row>
    <row r="33" spans="1:6" ht="24.75" customHeight="1" x14ac:dyDescent="0.3">
      <c r="A33" s="4"/>
      <c r="B33" s="17"/>
      <c r="C33" s="18"/>
      <c r="D33" s="17"/>
      <c r="E33" s="17"/>
      <c r="F33" s="4"/>
    </row>
    <row r="34" spans="1:6" ht="24.75" customHeight="1" x14ac:dyDescent="0.3">
      <c r="A34" s="5" t="s">
        <v>16</v>
      </c>
      <c r="B34" s="21"/>
      <c r="C34" s="21"/>
      <c r="D34" s="21"/>
      <c r="E34" s="21"/>
      <c r="F34" s="7">
        <v>3</v>
      </c>
    </row>
    <row r="35" spans="1:6" ht="24.75" customHeight="1" x14ac:dyDescent="0.3">
      <c r="A35" s="8" t="s">
        <v>1</v>
      </c>
      <c r="B35" s="9" t="s">
        <v>2</v>
      </c>
      <c r="C35" s="10" t="s">
        <v>3</v>
      </c>
      <c r="D35" s="9" t="s">
        <v>4</v>
      </c>
      <c r="E35" s="9" t="s">
        <v>5</v>
      </c>
      <c r="F35" s="4"/>
    </row>
    <row r="36" spans="1:6" ht="24.75" customHeight="1" x14ac:dyDescent="0.3">
      <c r="A36" s="11" t="s">
        <v>6</v>
      </c>
      <c r="B36" s="10">
        <v>67.5</v>
      </c>
      <c r="C36" s="19">
        <f t="shared" ref="C36:C41" si="6">B36/60</f>
        <v>1.125</v>
      </c>
      <c r="D36" s="9">
        <v>365</v>
      </c>
      <c r="E36" s="12">
        <f t="shared" ref="E36:E41" si="7">D36*C36</f>
        <v>410.625</v>
      </c>
      <c r="F36" s="4"/>
    </row>
    <row r="37" spans="1:6" ht="24.75" customHeight="1" x14ac:dyDescent="0.3">
      <c r="A37" s="11" t="s">
        <v>7</v>
      </c>
      <c r="B37" s="9">
        <v>180</v>
      </c>
      <c r="C37" s="12">
        <f t="shared" si="6"/>
        <v>3</v>
      </c>
      <c r="D37" s="9">
        <f>IF('[1]3, 4 , 5 PERHITUNGAN'!$K$1="semarang",F37*3,IF('[1]3, 4 , 5 PERHITUNGAN'!$K$1="banjarmasin",F37*2,IF('[1]3, 4 , 5 PERHITUNGAN'!$K$1="banjarmasin-sptp",F37*2,F37)))</f>
        <v>36</v>
      </c>
      <c r="E37" s="9">
        <f t="shared" si="7"/>
        <v>108</v>
      </c>
      <c r="F37" s="4">
        <v>12</v>
      </c>
    </row>
    <row r="38" spans="1:6" ht="24.75" customHeight="1" x14ac:dyDescent="0.3">
      <c r="A38" s="11" t="s">
        <v>8</v>
      </c>
      <c r="B38" s="9">
        <v>270</v>
      </c>
      <c r="C38" s="12">
        <f t="shared" si="6"/>
        <v>4.5</v>
      </c>
      <c r="D38" s="9">
        <f>IF('[1]3, 4 , 5 PERHITUNGAN'!$K$1="semarang",F38*3,IF('[1]3, 4 , 5 PERHITUNGAN'!$K$1="banjarmasin",F38*2,IF('[1]3, 4 , 5 PERHITUNGAN'!$K$1="banjarmasin-sptp",F38*2,F38)))</f>
        <v>18</v>
      </c>
      <c r="E38" s="9">
        <f t="shared" si="7"/>
        <v>81</v>
      </c>
      <c r="F38" s="4">
        <v>6</v>
      </c>
    </row>
    <row r="39" spans="1:6" ht="24.75" customHeight="1" x14ac:dyDescent="0.3">
      <c r="A39" s="11" t="s">
        <v>9</v>
      </c>
      <c r="B39" s="9">
        <v>360</v>
      </c>
      <c r="C39" s="12">
        <f t="shared" si="6"/>
        <v>6</v>
      </c>
      <c r="D39" s="9">
        <f>IF('[1]3, 4 , 5 PERHITUNGAN'!$K$1="semarang",F39*3,IF('[1]3, 4 , 5 PERHITUNGAN'!$K$1="banjarmasin",F39*2,IF('[1]3, 4 , 5 PERHITUNGAN'!$K$1="banjarmasin-sptp",F39*2,F39)))</f>
        <v>9</v>
      </c>
      <c r="E39" s="12">
        <f t="shared" si="7"/>
        <v>54</v>
      </c>
      <c r="F39" s="4">
        <v>3</v>
      </c>
    </row>
    <row r="40" spans="1:6" ht="24.75" customHeight="1" x14ac:dyDescent="0.3">
      <c r="A40" s="11" t="s">
        <v>10</v>
      </c>
      <c r="B40" s="9">
        <v>765</v>
      </c>
      <c r="C40" s="12">
        <f t="shared" si="6"/>
        <v>12.75</v>
      </c>
      <c r="D40" s="9">
        <f>IF('[1]3, 4 , 5 PERHITUNGAN'!$K$1="semarang",F40*3,IF('[1]3, 4 , 5 PERHITUNGAN'!$K$1="banjarmasin",F40*2,IF('[1]3, 4 , 5 PERHITUNGAN'!$K$1="banjarmasin-sptp",F40*2,F40)))</f>
        <v>9</v>
      </c>
      <c r="E40" s="9">
        <f t="shared" si="7"/>
        <v>114.75</v>
      </c>
      <c r="F40" s="4">
        <v>3</v>
      </c>
    </row>
    <row r="41" spans="1:6" ht="24.75" customHeight="1" x14ac:dyDescent="0.3">
      <c r="A41" s="11" t="s">
        <v>11</v>
      </c>
      <c r="B41" s="9">
        <v>180</v>
      </c>
      <c r="C41" s="12">
        <f t="shared" si="6"/>
        <v>3</v>
      </c>
      <c r="D41" s="9">
        <f>IF('[1]3, 4 , 5 PERHITUNGAN'!$K$1="semarang",F41*3,IF('[1]3, 4 , 5 PERHITUNGAN'!$K$1="banjarmasin",F41*2,IF('[1]3, 4 , 5 PERHITUNGAN'!$K$1="banjarmasin-sptp",F41*2,F41)))</f>
        <v>180</v>
      </c>
      <c r="E41" s="9">
        <f t="shared" si="7"/>
        <v>540</v>
      </c>
      <c r="F41" s="4">
        <v>60</v>
      </c>
    </row>
    <row r="42" spans="1:6" ht="24.75" customHeight="1" x14ac:dyDescent="0.3">
      <c r="A42" s="13" t="s">
        <v>12</v>
      </c>
      <c r="B42" s="22"/>
      <c r="C42" s="22"/>
      <c r="D42" s="23"/>
      <c r="E42" s="16">
        <f>SUM(E36:E41)</f>
        <v>1308.375</v>
      </c>
      <c r="F42" s="4"/>
    </row>
    <row r="43" spans="1:6" ht="24.75" customHeight="1" x14ac:dyDescent="0.3">
      <c r="A43" s="4"/>
      <c r="B43" s="17"/>
      <c r="C43" s="18"/>
      <c r="D43" s="17"/>
      <c r="E43" s="17"/>
      <c r="F43" s="4"/>
    </row>
    <row r="44" spans="1:6" ht="24.75" customHeight="1" x14ac:dyDescent="0.3">
      <c r="A44" s="24" t="s">
        <v>17</v>
      </c>
      <c r="B44" s="21"/>
      <c r="C44" s="21"/>
      <c r="D44" s="21"/>
      <c r="E44" s="21"/>
      <c r="F44" s="4"/>
    </row>
    <row r="45" spans="1:6" ht="24.75" customHeight="1" x14ac:dyDescent="0.3">
      <c r="A45" s="8" t="s">
        <v>1</v>
      </c>
      <c r="B45" s="9" t="s">
        <v>2</v>
      </c>
      <c r="C45" s="10" t="s">
        <v>3</v>
      </c>
      <c r="D45" s="9" t="s">
        <v>18</v>
      </c>
      <c r="E45" s="9" t="s">
        <v>5</v>
      </c>
      <c r="F45" s="4"/>
    </row>
    <row r="46" spans="1:6" ht="24.75" customHeight="1" x14ac:dyDescent="0.3">
      <c r="A46" s="11" t="s">
        <v>6</v>
      </c>
      <c r="B46" s="9">
        <v>60</v>
      </c>
      <c r="C46" s="10">
        <f t="shared" ref="C46:C50" si="8">B46/60</f>
        <v>1</v>
      </c>
      <c r="D46" s="9">
        <v>365</v>
      </c>
      <c r="E46" s="12">
        <f t="shared" ref="E46:E50" si="9">D46*C46</f>
        <v>365</v>
      </c>
      <c r="F46" s="4"/>
    </row>
    <row r="47" spans="1:6" ht="24.75" customHeight="1" x14ac:dyDescent="0.3">
      <c r="A47" s="11" t="s">
        <v>7</v>
      </c>
      <c r="B47" s="9">
        <v>180</v>
      </c>
      <c r="C47" s="10">
        <f t="shared" si="8"/>
        <v>3</v>
      </c>
      <c r="D47" s="9">
        <v>12</v>
      </c>
      <c r="E47" s="9">
        <f t="shared" si="9"/>
        <v>36</v>
      </c>
      <c r="F47" s="4"/>
    </row>
    <row r="48" spans="1:6" ht="24.75" customHeight="1" x14ac:dyDescent="0.3">
      <c r="A48" s="11" t="s">
        <v>8</v>
      </c>
      <c r="B48" s="9">
        <v>180</v>
      </c>
      <c r="C48" s="10">
        <f t="shared" si="8"/>
        <v>3</v>
      </c>
      <c r="D48" s="9">
        <v>6</v>
      </c>
      <c r="E48" s="9">
        <f t="shared" si="9"/>
        <v>18</v>
      </c>
      <c r="F48" s="4"/>
    </row>
    <row r="49" spans="1:6" ht="24.75" customHeight="1" x14ac:dyDescent="0.3">
      <c r="A49" s="11" t="s">
        <v>9</v>
      </c>
      <c r="B49" s="9">
        <v>360</v>
      </c>
      <c r="C49" s="10">
        <f t="shared" si="8"/>
        <v>6</v>
      </c>
      <c r="D49" s="9">
        <v>3</v>
      </c>
      <c r="E49" s="12">
        <f t="shared" si="9"/>
        <v>18</v>
      </c>
      <c r="F49" s="4"/>
    </row>
    <row r="50" spans="1:6" ht="24.75" customHeight="1" x14ac:dyDescent="0.3">
      <c r="A50" s="11" t="s">
        <v>10</v>
      </c>
      <c r="B50" s="9">
        <v>765</v>
      </c>
      <c r="C50" s="10">
        <f t="shared" si="8"/>
        <v>12.75</v>
      </c>
      <c r="D50" s="9">
        <v>3</v>
      </c>
      <c r="E50" s="9">
        <f t="shared" si="9"/>
        <v>38.25</v>
      </c>
      <c r="F50" s="4"/>
    </row>
    <row r="51" spans="1:6" ht="24.75" customHeight="1" x14ac:dyDescent="0.3">
      <c r="A51" s="13" t="s">
        <v>12</v>
      </c>
      <c r="B51" s="22"/>
      <c r="C51" s="22"/>
      <c r="D51" s="23"/>
      <c r="E51" s="20">
        <f>SUM(E46:E50)</f>
        <v>475.25</v>
      </c>
      <c r="F51" s="4"/>
    </row>
    <row r="52" spans="1:6" ht="24.75" customHeight="1" x14ac:dyDescent="0.3">
      <c r="A52" s="4"/>
      <c r="B52" s="17"/>
      <c r="C52" s="18"/>
      <c r="D52" s="17"/>
      <c r="E52" s="17"/>
      <c r="F52" s="4"/>
    </row>
    <row r="53" spans="1:6" ht="24.75" customHeight="1" x14ac:dyDescent="0.3">
      <c r="A53" s="5" t="s">
        <v>19</v>
      </c>
      <c r="B53" s="21"/>
      <c r="C53" s="21"/>
      <c r="D53" s="21"/>
      <c r="E53" s="21"/>
      <c r="F53" s="4"/>
    </row>
    <row r="54" spans="1:6" ht="24.75" customHeight="1" x14ac:dyDescent="0.3">
      <c r="A54" s="8" t="s">
        <v>1</v>
      </c>
      <c r="B54" s="9" t="s">
        <v>2</v>
      </c>
      <c r="C54" s="10" t="s">
        <v>3</v>
      </c>
      <c r="D54" s="9" t="s">
        <v>4</v>
      </c>
      <c r="E54" s="9" t="s">
        <v>5</v>
      </c>
      <c r="F54" s="4"/>
    </row>
    <row r="55" spans="1:6" ht="24.75" customHeight="1" x14ac:dyDescent="0.3">
      <c r="A55" s="11" t="s">
        <v>6</v>
      </c>
      <c r="B55" s="9">
        <v>52.5</v>
      </c>
      <c r="C55" s="10">
        <f t="shared" ref="C55:C60" si="10">B55/60</f>
        <v>0.875</v>
      </c>
      <c r="D55" s="9">
        <v>365</v>
      </c>
      <c r="E55" s="12">
        <f t="shared" ref="E55:E60" si="11">D55*C55</f>
        <v>319.375</v>
      </c>
      <c r="F55" s="4"/>
    </row>
    <row r="56" spans="1:6" ht="24.75" customHeight="1" x14ac:dyDescent="0.3">
      <c r="A56" s="11" t="s">
        <v>7</v>
      </c>
      <c r="B56" s="9">
        <v>180</v>
      </c>
      <c r="C56" s="10">
        <f t="shared" si="10"/>
        <v>3</v>
      </c>
      <c r="D56" s="9">
        <v>12</v>
      </c>
      <c r="E56" s="9">
        <f t="shared" si="11"/>
        <v>36</v>
      </c>
      <c r="F56" s="4"/>
    </row>
    <row r="57" spans="1:6" ht="24.75" customHeight="1" x14ac:dyDescent="0.3">
      <c r="A57" s="11" t="s">
        <v>8</v>
      </c>
      <c r="B57" s="9">
        <v>180</v>
      </c>
      <c r="C57" s="10">
        <f t="shared" si="10"/>
        <v>3</v>
      </c>
      <c r="D57" s="9">
        <v>6</v>
      </c>
      <c r="E57" s="9">
        <f t="shared" si="11"/>
        <v>18</v>
      </c>
      <c r="F57" s="4"/>
    </row>
    <row r="58" spans="1:6" ht="24.75" customHeight="1" x14ac:dyDescent="0.3">
      <c r="A58" s="11" t="s">
        <v>9</v>
      </c>
      <c r="B58" s="9">
        <v>405</v>
      </c>
      <c r="C58" s="10">
        <f t="shared" si="10"/>
        <v>6.75</v>
      </c>
      <c r="D58" s="9">
        <v>3</v>
      </c>
      <c r="E58" s="12">
        <f t="shared" si="11"/>
        <v>20.25</v>
      </c>
      <c r="F58" s="4"/>
    </row>
    <row r="59" spans="1:6" ht="24.75" customHeight="1" x14ac:dyDescent="0.3">
      <c r="A59" s="11" t="s">
        <v>10</v>
      </c>
      <c r="B59" s="9">
        <v>495</v>
      </c>
      <c r="C59" s="10">
        <f t="shared" si="10"/>
        <v>8.25</v>
      </c>
      <c r="D59" s="9">
        <v>3</v>
      </c>
      <c r="E59" s="9">
        <f t="shared" si="11"/>
        <v>24.75</v>
      </c>
      <c r="F59" s="4"/>
    </row>
    <row r="60" spans="1:6" ht="24.75" customHeight="1" x14ac:dyDescent="0.3">
      <c r="A60" s="11" t="s">
        <v>11</v>
      </c>
      <c r="B60" s="9">
        <v>240</v>
      </c>
      <c r="C60" s="10">
        <f t="shared" si="10"/>
        <v>4</v>
      </c>
      <c r="D60" s="9">
        <v>8</v>
      </c>
      <c r="E60" s="9">
        <f t="shared" si="11"/>
        <v>32</v>
      </c>
      <c r="F60" s="4"/>
    </row>
    <row r="61" spans="1:6" ht="24.75" customHeight="1" x14ac:dyDescent="0.3">
      <c r="A61" s="13" t="s">
        <v>12</v>
      </c>
      <c r="B61" s="22"/>
      <c r="C61" s="22"/>
      <c r="D61" s="23"/>
      <c r="E61" s="20">
        <f>SUM(E55:E60)</f>
        <v>450.375</v>
      </c>
      <c r="F61" s="4"/>
    </row>
    <row r="62" spans="1:6" ht="24.75" customHeight="1" x14ac:dyDescent="0.3">
      <c r="A62" s="4"/>
      <c r="B62" s="17"/>
      <c r="C62" s="18"/>
      <c r="D62" s="17"/>
      <c r="E62" s="17"/>
      <c r="F62" s="4"/>
    </row>
    <row r="63" spans="1:6" ht="24.75" customHeight="1" x14ac:dyDescent="0.3">
      <c r="A63" s="5" t="s">
        <v>20</v>
      </c>
      <c r="B63" s="21"/>
      <c r="C63" s="21"/>
      <c r="D63" s="21"/>
      <c r="E63" s="21"/>
      <c r="F63" s="4">
        <v>2</v>
      </c>
    </row>
    <row r="64" spans="1:6" ht="24.75" customHeight="1" x14ac:dyDescent="0.3">
      <c r="A64" s="8" t="s">
        <v>1</v>
      </c>
      <c r="B64" s="9" t="s">
        <v>2</v>
      </c>
      <c r="C64" s="10" t="s">
        <v>3</v>
      </c>
      <c r="D64" s="9" t="s">
        <v>4</v>
      </c>
      <c r="E64" s="9" t="s">
        <v>5</v>
      </c>
      <c r="F64" s="4"/>
    </row>
    <row r="65" spans="1:6" ht="24.75" customHeight="1" x14ac:dyDescent="0.3">
      <c r="A65" s="11" t="s">
        <v>6</v>
      </c>
      <c r="B65" s="9">
        <v>82.5</v>
      </c>
      <c r="C65" s="10">
        <f t="shared" ref="C65:C70" si="12">B65/60</f>
        <v>1.375</v>
      </c>
      <c r="D65" s="9">
        <v>365</v>
      </c>
      <c r="E65" s="12">
        <f t="shared" ref="E65:E70" si="13">D65*C65</f>
        <v>501.875</v>
      </c>
      <c r="F65" s="4"/>
    </row>
    <row r="66" spans="1:6" ht="24.75" customHeight="1" x14ac:dyDescent="0.3">
      <c r="A66" s="11" t="s">
        <v>7</v>
      </c>
      <c r="B66" s="9">
        <v>270</v>
      </c>
      <c r="C66" s="10">
        <f t="shared" si="12"/>
        <v>4.5</v>
      </c>
      <c r="D66" s="9">
        <f>IF('[1]3, 4 , 5 PERHITUNGAN'!$K$1="banjarmasin-sptp",F66*3,IF('[1]3, 4 , 5 PERHITUNGAN'!$K$1="semarang",F66*3,F66))</f>
        <v>36</v>
      </c>
      <c r="E66" s="9">
        <f t="shared" si="13"/>
        <v>162</v>
      </c>
      <c r="F66" s="4">
        <v>12</v>
      </c>
    </row>
    <row r="67" spans="1:6" ht="24.75" customHeight="1" x14ac:dyDescent="0.3">
      <c r="A67" s="11" t="s">
        <v>8</v>
      </c>
      <c r="B67" s="9">
        <v>405</v>
      </c>
      <c r="C67" s="10">
        <f t="shared" si="12"/>
        <v>6.75</v>
      </c>
      <c r="D67" s="9">
        <f>IF('[1]3, 4 , 5 PERHITUNGAN'!$K$1="banjarmasin-sptp",F67*3,IF('[1]3, 4 , 5 PERHITUNGAN'!$K$1="semarang",F67*3,F67))</f>
        <v>18</v>
      </c>
      <c r="E67" s="9">
        <f t="shared" si="13"/>
        <v>121.5</v>
      </c>
      <c r="F67" s="4">
        <v>6</v>
      </c>
    </row>
    <row r="68" spans="1:6" ht="24.75" customHeight="1" x14ac:dyDescent="0.3">
      <c r="A68" s="11" t="s">
        <v>9</v>
      </c>
      <c r="B68" s="9">
        <v>765</v>
      </c>
      <c r="C68" s="10">
        <f t="shared" si="12"/>
        <v>12.75</v>
      </c>
      <c r="D68" s="9">
        <f>IF('[1]3, 4 , 5 PERHITUNGAN'!$K$1="banjarmasin-sptp",F68*3,IF('[1]3, 4 , 5 PERHITUNGAN'!$K$1="semarang",F68*3,F68))</f>
        <v>9</v>
      </c>
      <c r="E68" s="12">
        <f t="shared" si="13"/>
        <v>114.75</v>
      </c>
      <c r="F68" s="4">
        <v>3</v>
      </c>
    </row>
    <row r="69" spans="1:6" ht="24.75" customHeight="1" x14ac:dyDescent="0.3">
      <c r="A69" s="11" t="s">
        <v>10</v>
      </c>
      <c r="B69" s="9">
        <v>900</v>
      </c>
      <c r="C69" s="10">
        <f t="shared" si="12"/>
        <v>15</v>
      </c>
      <c r="D69" s="9">
        <f>IF('[1]3, 4 , 5 PERHITUNGAN'!$K$1="banjarmasin-sptp",F69*3,IF('[1]3, 4 , 5 PERHITUNGAN'!$K$1="semarang",F69*3,F69))</f>
        <v>9</v>
      </c>
      <c r="E69" s="9">
        <f t="shared" si="13"/>
        <v>135</v>
      </c>
      <c r="F69" s="4">
        <v>3</v>
      </c>
    </row>
    <row r="70" spans="1:6" ht="24.75" customHeight="1" x14ac:dyDescent="0.3">
      <c r="A70" s="11" t="s">
        <v>11</v>
      </c>
      <c r="B70" s="9">
        <v>240</v>
      </c>
      <c r="C70" s="10">
        <f t="shared" si="12"/>
        <v>4</v>
      </c>
      <c r="D70" s="9">
        <f>IF('[1]3, 4 , 5 PERHITUNGAN'!$K$1="banjarmasin-sptp",F70*3,IF('[1]3, 4 , 5 PERHITUNGAN'!$K$1="semarang",F70*3,F70))</f>
        <v>24</v>
      </c>
      <c r="E70" s="9">
        <f t="shared" si="13"/>
        <v>96</v>
      </c>
      <c r="F70" s="4">
        <v>8</v>
      </c>
    </row>
    <row r="71" spans="1:6" ht="24.75" customHeight="1" x14ac:dyDescent="0.3">
      <c r="A71" s="13" t="s">
        <v>12</v>
      </c>
      <c r="B71" s="22"/>
      <c r="C71" s="22"/>
      <c r="D71" s="23"/>
      <c r="E71" s="20">
        <f>SUM(E65:E70)</f>
        <v>1131.125</v>
      </c>
      <c r="F71" s="4"/>
    </row>
    <row r="72" spans="1:6" ht="24.75" customHeight="1" x14ac:dyDescent="0.3">
      <c r="A72" s="4"/>
      <c r="B72" s="17"/>
      <c r="C72" s="18"/>
      <c r="D72" s="17"/>
      <c r="E72" s="17"/>
      <c r="F72" s="4"/>
    </row>
    <row r="73" spans="1:6" ht="24.75" customHeight="1" x14ac:dyDescent="0.3">
      <c r="A73" s="25" t="s">
        <v>21</v>
      </c>
      <c r="B73" s="22"/>
      <c r="C73" s="22"/>
      <c r="D73" s="22"/>
      <c r="E73" s="23"/>
      <c r="F73" s="7">
        <v>3</v>
      </c>
    </row>
    <row r="74" spans="1:6" ht="24.75" customHeight="1" x14ac:dyDescent="0.3">
      <c r="A74" s="8" t="s">
        <v>1</v>
      </c>
      <c r="B74" s="9" t="s">
        <v>2</v>
      </c>
      <c r="C74" s="10" t="s">
        <v>3</v>
      </c>
      <c r="D74" s="9" t="s">
        <v>4</v>
      </c>
      <c r="E74" s="9" t="s">
        <v>5</v>
      </c>
      <c r="F74" s="4"/>
    </row>
    <row r="75" spans="1:6" ht="24.75" customHeight="1" x14ac:dyDescent="0.3">
      <c r="A75" s="11" t="s">
        <v>22</v>
      </c>
      <c r="B75" s="9">
        <v>120</v>
      </c>
      <c r="C75" s="10">
        <f t="shared" ref="C75:C107" si="14">B75/60</f>
        <v>2</v>
      </c>
      <c r="D75" s="9">
        <v>365</v>
      </c>
      <c r="E75" s="12">
        <f t="shared" ref="E75:E107" si="15">D75*C75</f>
        <v>730</v>
      </c>
      <c r="F75" s="4"/>
    </row>
    <row r="76" spans="1:6" ht="24.75" customHeight="1" x14ac:dyDescent="0.3">
      <c r="A76" s="11" t="s">
        <v>23</v>
      </c>
      <c r="B76" s="9">
        <v>270</v>
      </c>
      <c r="C76" s="10">
        <f t="shared" si="14"/>
        <v>4.5</v>
      </c>
      <c r="D76" s="9">
        <f>IF('[1]3, 4 , 5 PERHITUNGAN'!$K$1="semarang",F76+4,IF('[1]3, 4 , 5 PERHITUNGAN'!$K$1="banjarmasin",F76+4,IF('[1]3, 4 , 5 PERHITUNGAN'!$K$1="banjarmasin-sptp",F76+4,F76)))</f>
        <v>12</v>
      </c>
      <c r="E76" s="12">
        <f t="shared" si="15"/>
        <v>54</v>
      </c>
      <c r="F76" s="4">
        <v>8</v>
      </c>
    </row>
    <row r="77" spans="1:6" ht="24.75" customHeight="1" x14ac:dyDescent="0.3">
      <c r="A77" s="11" t="s">
        <v>24</v>
      </c>
      <c r="B77" s="9">
        <v>315</v>
      </c>
      <c r="C77" s="10">
        <f t="shared" si="14"/>
        <v>5.25</v>
      </c>
      <c r="D77" s="9">
        <f>IF('[1]3, 4 , 5 PERHITUNGAN'!$K$1="semarang",F77+2,IF('[1]3, 4 , 5 PERHITUNGAN'!$K$1="banjarmasin",F77+2,IF('[1]3, 4 , 5 PERHITUNGAN'!$K$1="banjarmasin-sptp",F77+2,F77)))</f>
        <v>4</v>
      </c>
      <c r="E77" s="12">
        <f t="shared" si="15"/>
        <v>21</v>
      </c>
      <c r="F77" s="4">
        <v>2</v>
      </c>
    </row>
    <row r="78" spans="1:6" ht="24.75" customHeight="1" x14ac:dyDescent="0.3">
      <c r="A78" s="11" t="s">
        <v>25</v>
      </c>
      <c r="B78" s="9">
        <v>405</v>
      </c>
      <c r="C78" s="10">
        <f t="shared" si="14"/>
        <v>6.75</v>
      </c>
      <c r="D78" s="9">
        <v>2</v>
      </c>
      <c r="E78" s="12">
        <f t="shared" si="15"/>
        <v>13.5</v>
      </c>
      <c r="F78" s="4">
        <v>2</v>
      </c>
    </row>
    <row r="79" spans="1:6" ht="24.75" customHeight="1" x14ac:dyDescent="0.3">
      <c r="A79" s="11" t="s">
        <v>26</v>
      </c>
      <c r="B79" s="9">
        <v>285</v>
      </c>
      <c r="C79" s="10">
        <f t="shared" si="14"/>
        <v>4.75</v>
      </c>
      <c r="D79" s="26">
        <f>IF('[1]3, 4 , 5 PERHITUNGAN'!$K$1="semarang",F79*3,IF('[1]3, 4 , 5 PERHITUNGAN'!$K$1="banjarmasin",F79*2,IF('[1]3, 4 , 5 PERHITUNGAN'!$K$1="banjarmasin-sptp",F79*2,F79)))</f>
        <v>24</v>
      </c>
      <c r="E79" s="12">
        <f t="shared" si="15"/>
        <v>114</v>
      </c>
      <c r="F79" s="4">
        <v>8</v>
      </c>
    </row>
    <row r="80" spans="1:6" ht="24.75" customHeight="1" x14ac:dyDescent="0.3">
      <c r="A80" s="11" t="s">
        <v>27</v>
      </c>
      <c r="B80" s="9">
        <v>360</v>
      </c>
      <c r="C80" s="10">
        <f t="shared" si="14"/>
        <v>6</v>
      </c>
      <c r="D80" s="26">
        <f>IF('[1]3, 4 , 5 PERHITUNGAN'!$K$1="semarang",F80*3,IF('[1]3, 4 , 5 PERHITUNGAN'!$K$1="banjarmasin",F80*2,IF('[1]3, 4 , 5 PERHITUNGAN'!$K$1="banjarmasin-sptp",F80*2,F80)))</f>
        <v>18</v>
      </c>
      <c r="E80" s="12">
        <f t="shared" si="15"/>
        <v>108</v>
      </c>
      <c r="F80" s="4">
        <v>6</v>
      </c>
    </row>
    <row r="81" spans="1:6" ht="24.75" customHeight="1" x14ac:dyDescent="0.3">
      <c r="A81" s="11" t="s">
        <v>28</v>
      </c>
      <c r="B81" s="9">
        <v>922.5</v>
      </c>
      <c r="C81" s="10">
        <f t="shared" si="14"/>
        <v>15.375</v>
      </c>
      <c r="D81" s="26">
        <f>IF('[1]3, 4 , 5 PERHITUNGAN'!$K$1="semarang",F81*3,IF('[1]3, 4 , 5 PERHITUNGAN'!$K$1="banjarmasin",F81*2,IF('[1]3, 4 , 5 PERHITUNGAN'!$K$1="banjarmasin-sptp",F81*2,F81)))</f>
        <v>6</v>
      </c>
      <c r="E81" s="12">
        <f t="shared" si="15"/>
        <v>92.25</v>
      </c>
      <c r="F81" s="4">
        <v>2</v>
      </c>
    </row>
    <row r="82" spans="1:6" ht="24.75" customHeight="1" x14ac:dyDescent="0.3">
      <c r="A82" s="11" t="s">
        <v>11</v>
      </c>
      <c r="B82" s="9">
        <v>270</v>
      </c>
      <c r="C82" s="10">
        <f t="shared" si="14"/>
        <v>4.5</v>
      </c>
      <c r="D82" s="9">
        <f>IF('[1]3, 4 , 5 PERHITUNGAN'!$K$1="semarang",F82*3,IF('[1]3, 4 , 5 PERHITUNGAN'!$K$1="banjarmasin",F82*2,IF('[1]3, 4 , 5 PERHITUNGAN'!$K$1="banjarmasin-sptp",F82*2,F82)))</f>
        <v>12</v>
      </c>
      <c r="E82" s="12">
        <f t="shared" si="15"/>
        <v>54</v>
      </c>
      <c r="F82" s="4">
        <v>4</v>
      </c>
    </row>
    <row r="83" spans="1:6" ht="24.75" customHeight="1" x14ac:dyDescent="0.3">
      <c r="A83" s="11" t="s">
        <v>29</v>
      </c>
      <c r="B83" s="9">
        <v>1530</v>
      </c>
      <c r="C83" s="10">
        <f t="shared" si="14"/>
        <v>25.5</v>
      </c>
      <c r="D83" s="9">
        <v>2</v>
      </c>
      <c r="E83" s="12">
        <f t="shared" si="15"/>
        <v>51</v>
      </c>
      <c r="F83" s="4">
        <v>2</v>
      </c>
    </row>
    <row r="84" spans="1:6" ht="24.75" customHeight="1" x14ac:dyDescent="0.3">
      <c r="A84" s="11" t="s">
        <v>30</v>
      </c>
      <c r="B84" s="9">
        <v>135</v>
      </c>
      <c r="C84" s="10">
        <f t="shared" si="14"/>
        <v>2.25</v>
      </c>
      <c r="D84" s="9">
        <f>IF('[1]3, 4 , 5 PERHITUNGAN'!$K$1="semarang",F84*3,IF('[1]3, 4 , 5 PERHITUNGAN'!$K$1="banjarmasin",F84*2,F84))</f>
        <v>36</v>
      </c>
      <c r="E84" s="12">
        <f t="shared" si="15"/>
        <v>81</v>
      </c>
      <c r="F84" s="4">
        <v>12</v>
      </c>
    </row>
    <row r="85" spans="1:6" ht="24.75" customHeight="1" x14ac:dyDescent="0.3">
      <c r="A85" s="11" t="s">
        <v>31</v>
      </c>
      <c r="B85" s="9">
        <v>135</v>
      </c>
      <c r="C85" s="10">
        <f t="shared" si="14"/>
        <v>2.25</v>
      </c>
      <c r="D85" s="9">
        <f>IF('[1]3, 4 , 5 PERHITUNGAN'!$K$1="semarang",F85*3,IF('[1]3, 4 , 5 PERHITUNGAN'!$K$1="banjarmasin",F85*2,F85))</f>
        <v>36</v>
      </c>
      <c r="E85" s="12">
        <f t="shared" si="15"/>
        <v>81</v>
      </c>
      <c r="F85" s="4">
        <v>12</v>
      </c>
    </row>
    <row r="86" spans="1:6" ht="24.75" customHeight="1" x14ac:dyDescent="0.3">
      <c r="A86" s="11" t="s">
        <v>32</v>
      </c>
      <c r="B86" s="9">
        <v>135</v>
      </c>
      <c r="C86" s="10">
        <f t="shared" si="14"/>
        <v>2.25</v>
      </c>
      <c r="D86" s="9">
        <f>IF('[1]3, 4 , 5 PERHITUNGAN'!$K$1="semarang",F86*3,IF('[1]3, 4 , 5 PERHITUNGAN'!$K$1="banjarmasin",F86*2,F86))</f>
        <v>36</v>
      </c>
      <c r="E86" s="12">
        <f t="shared" si="15"/>
        <v>81</v>
      </c>
      <c r="F86" s="4">
        <v>12</v>
      </c>
    </row>
    <row r="87" spans="1:6" ht="24.75" customHeight="1" x14ac:dyDescent="0.3">
      <c r="A87" s="11" t="s">
        <v>33</v>
      </c>
      <c r="B87" s="9">
        <v>180</v>
      </c>
      <c r="C87" s="10">
        <f t="shared" si="14"/>
        <v>3</v>
      </c>
      <c r="D87" s="9">
        <f>IF('[1]3, 4 , 5 PERHITUNGAN'!$K$1="semarang",F87*3,IF('[1]3, 4 , 5 PERHITUNGAN'!$K$1="banjarmasin",F87*2,F87))</f>
        <v>36</v>
      </c>
      <c r="E87" s="9">
        <f t="shared" si="15"/>
        <v>108</v>
      </c>
      <c r="F87" s="4">
        <v>12</v>
      </c>
    </row>
    <row r="88" spans="1:6" ht="24.75" customHeight="1" x14ac:dyDescent="0.3">
      <c r="A88" s="11" t="s">
        <v>34</v>
      </c>
      <c r="B88" s="9">
        <v>135</v>
      </c>
      <c r="C88" s="10">
        <f t="shared" si="14"/>
        <v>2.25</v>
      </c>
      <c r="D88" s="9">
        <f>IF('[1]3, 4 , 5 PERHITUNGAN'!$K$1="semarang",F88*3,IF('[1]3, 4 , 5 PERHITUNGAN'!$K$1="banjarmasin",F88*2,F88))</f>
        <v>36</v>
      </c>
      <c r="E88" s="9">
        <f t="shared" si="15"/>
        <v>81</v>
      </c>
      <c r="F88" s="4">
        <v>12</v>
      </c>
    </row>
    <row r="89" spans="1:6" ht="24.75" customHeight="1" x14ac:dyDescent="0.3">
      <c r="A89" s="11" t="s">
        <v>35</v>
      </c>
      <c r="B89" s="9">
        <v>135</v>
      </c>
      <c r="C89" s="10">
        <f t="shared" si="14"/>
        <v>2.25</v>
      </c>
      <c r="D89" s="9">
        <f>IF('[1]3, 4 , 5 PERHITUNGAN'!$K$1="semarang",F89*3,IF('[1]3, 4 , 5 PERHITUNGAN'!$K$1="banjarmasin",F89*2,F89))</f>
        <v>18</v>
      </c>
      <c r="E89" s="9">
        <f t="shared" si="15"/>
        <v>40.5</v>
      </c>
      <c r="F89" s="4">
        <v>6</v>
      </c>
    </row>
    <row r="90" spans="1:6" ht="24.75" customHeight="1" x14ac:dyDescent="0.3">
      <c r="A90" s="11" t="s">
        <v>36</v>
      </c>
      <c r="B90" s="9">
        <v>360</v>
      </c>
      <c r="C90" s="10">
        <f t="shared" si="14"/>
        <v>6</v>
      </c>
      <c r="D90" s="9">
        <f>IF('[1]3, 4 , 5 PERHITUNGAN'!$K$1="semarang",F90*3,IF('[1]3, 4 , 5 PERHITUNGAN'!$K$1="banjarmasin",F90*2,F90))</f>
        <v>3</v>
      </c>
      <c r="E90" s="9">
        <f t="shared" si="15"/>
        <v>18</v>
      </c>
      <c r="F90" s="4">
        <v>1</v>
      </c>
    </row>
    <row r="91" spans="1:6" ht="24.75" customHeight="1" x14ac:dyDescent="0.3">
      <c r="A91" s="11" t="s">
        <v>37</v>
      </c>
      <c r="B91" s="9">
        <v>360</v>
      </c>
      <c r="C91" s="10">
        <f t="shared" si="14"/>
        <v>6</v>
      </c>
      <c r="D91" s="9">
        <f>IF('[1]3, 4 , 5 PERHITUNGAN'!$K$1="semarang",F91*3,IF('[1]3, 4 , 5 PERHITUNGAN'!$K$1="banjarmasin",F91*2,F91))</f>
        <v>3</v>
      </c>
      <c r="E91" s="9">
        <f t="shared" si="15"/>
        <v>18</v>
      </c>
      <c r="F91" s="4">
        <v>1</v>
      </c>
    </row>
    <row r="92" spans="1:6" ht="24.75" customHeight="1" x14ac:dyDescent="0.3">
      <c r="A92" s="11" t="s">
        <v>38</v>
      </c>
      <c r="B92" s="9">
        <v>270</v>
      </c>
      <c r="C92" s="10">
        <f t="shared" si="14"/>
        <v>4.5</v>
      </c>
      <c r="D92" s="9">
        <f>IF('[1]3, 4 , 5 PERHITUNGAN'!$K$1="semarang",F92*3,IF('[1]3, 4 , 5 PERHITUNGAN'!$K$1="banjarmasin",F92*2,F92))</f>
        <v>12</v>
      </c>
      <c r="E92" s="9">
        <f t="shared" si="15"/>
        <v>54</v>
      </c>
      <c r="F92" s="4">
        <v>4</v>
      </c>
    </row>
    <row r="93" spans="1:6" ht="24.75" customHeight="1" x14ac:dyDescent="0.3">
      <c r="A93" s="11" t="s">
        <v>39</v>
      </c>
      <c r="B93" s="9">
        <v>247.5</v>
      </c>
      <c r="C93" s="10">
        <f t="shared" si="14"/>
        <v>4.125</v>
      </c>
      <c r="D93" s="9">
        <f>IF('[1]3, 4 , 5 PERHITUNGAN'!$K$1="semarang",F93*3,IF('[1]3, 4 , 5 PERHITUNGAN'!$K$1="banjarmasin",F93*2,F93))</f>
        <v>3</v>
      </c>
      <c r="E93" s="9">
        <f t="shared" si="15"/>
        <v>12.375</v>
      </c>
      <c r="F93" s="4">
        <v>1</v>
      </c>
    </row>
    <row r="94" spans="1:6" ht="24.75" customHeight="1" x14ac:dyDescent="0.3">
      <c r="A94" s="11" t="s">
        <v>40</v>
      </c>
      <c r="B94" s="9">
        <v>1530</v>
      </c>
      <c r="C94" s="10">
        <f t="shared" si="14"/>
        <v>25.5</v>
      </c>
      <c r="D94" s="9">
        <f>IF('[1]3, 4 , 5 PERHITUNGAN'!$K$1="semarang",F94*3,IF('[1]3, 4 , 5 PERHITUNGAN'!$K$1="banjarmasin",F94*2,F94))</f>
        <v>3</v>
      </c>
      <c r="E94" s="9">
        <f t="shared" si="15"/>
        <v>76.5</v>
      </c>
      <c r="F94" s="4">
        <v>1</v>
      </c>
    </row>
    <row r="95" spans="1:6" ht="24.75" customHeight="1" x14ac:dyDescent="0.3">
      <c r="A95" s="11" t="s">
        <v>41</v>
      </c>
      <c r="B95" s="9">
        <v>135</v>
      </c>
      <c r="C95" s="10">
        <f t="shared" si="14"/>
        <v>2.25</v>
      </c>
      <c r="D95" s="9">
        <f>IF('[1]3, 4 , 5 PERHITUNGAN'!$K$1="semarang",F95*3,IF('[1]3, 4 , 5 PERHITUNGAN'!$K$1="banjarmasin",F95*2,F95))</f>
        <v>36</v>
      </c>
      <c r="E95" s="9">
        <f t="shared" si="15"/>
        <v>81</v>
      </c>
      <c r="F95" s="4">
        <v>12</v>
      </c>
    </row>
    <row r="96" spans="1:6" ht="24.75" customHeight="1" x14ac:dyDescent="0.3">
      <c r="A96" s="11" t="s">
        <v>42</v>
      </c>
      <c r="B96" s="9">
        <v>180</v>
      </c>
      <c r="C96" s="10">
        <f t="shared" si="14"/>
        <v>3</v>
      </c>
      <c r="D96" s="9">
        <f>IF('[1]3, 4 , 5 PERHITUNGAN'!$K$1="semarang",F96*3,IF('[1]3, 4 , 5 PERHITUNGAN'!$K$1="banjarmasin",F96*2,F96))</f>
        <v>3</v>
      </c>
      <c r="E96" s="9">
        <f t="shared" si="15"/>
        <v>9</v>
      </c>
      <c r="F96" s="4">
        <v>1</v>
      </c>
    </row>
    <row r="97" spans="1:6" ht="24.75" customHeight="1" x14ac:dyDescent="0.3">
      <c r="A97" s="11" t="s">
        <v>43</v>
      </c>
      <c r="B97" s="9">
        <v>135</v>
      </c>
      <c r="C97" s="10">
        <f t="shared" si="14"/>
        <v>2.25</v>
      </c>
      <c r="D97" s="9">
        <f>IF('[1]3, 4 , 5 PERHITUNGAN'!$K$1="semarang",F97*3,IF('[1]3, 4 , 5 PERHITUNGAN'!$K$1="banjarmasin",F97*2,F97))</f>
        <v>18</v>
      </c>
      <c r="E97" s="9">
        <f t="shared" si="15"/>
        <v>40.5</v>
      </c>
      <c r="F97" s="4">
        <v>6</v>
      </c>
    </row>
    <row r="98" spans="1:6" ht="24.75" customHeight="1" x14ac:dyDescent="0.3">
      <c r="A98" s="11" t="s">
        <v>44</v>
      </c>
      <c r="B98" s="9">
        <v>135</v>
      </c>
      <c r="C98" s="10">
        <f t="shared" si="14"/>
        <v>2.25</v>
      </c>
      <c r="D98" s="9">
        <f>IF('[1]3, 4 , 5 PERHITUNGAN'!$K$1="semarang",F98*3,IF('[1]3, 4 , 5 PERHITUNGAN'!$K$1="banjarmasin",F98*2,F98))</f>
        <v>36</v>
      </c>
      <c r="E98" s="9">
        <f t="shared" si="15"/>
        <v>81</v>
      </c>
      <c r="F98" s="4">
        <v>12</v>
      </c>
    </row>
    <row r="99" spans="1:6" ht="24.75" customHeight="1" x14ac:dyDescent="0.3">
      <c r="A99" s="11" t="s">
        <v>45</v>
      </c>
      <c r="B99" s="9">
        <v>135</v>
      </c>
      <c r="C99" s="10">
        <f t="shared" si="14"/>
        <v>2.25</v>
      </c>
      <c r="D99" s="9">
        <f>IF('[1]3, 4 , 5 PERHITUNGAN'!$K$1="semarang",F99*3,IF('[1]3, 4 , 5 PERHITUNGAN'!$K$1="banjarmasin",F99*2,F99))</f>
        <v>12</v>
      </c>
      <c r="E99" s="9">
        <f t="shared" si="15"/>
        <v>27</v>
      </c>
      <c r="F99" s="4">
        <v>4</v>
      </c>
    </row>
    <row r="100" spans="1:6" ht="24.75" customHeight="1" x14ac:dyDescent="0.3">
      <c r="A100" s="11" t="s">
        <v>46</v>
      </c>
      <c r="B100" s="9">
        <v>360</v>
      </c>
      <c r="C100" s="10">
        <f t="shared" si="14"/>
        <v>6</v>
      </c>
      <c r="D100" s="9">
        <f>IF('[1]3, 4 , 5 PERHITUNGAN'!$K$1="semarang",F100*3,IF('[1]3, 4 , 5 PERHITUNGAN'!$K$1="banjarmasin",F100*2,F100))</f>
        <v>3</v>
      </c>
      <c r="E100" s="9">
        <f t="shared" si="15"/>
        <v>18</v>
      </c>
      <c r="F100" s="4">
        <v>1</v>
      </c>
    </row>
    <row r="101" spans="1:6" ht="24.75" customHeight="1" x14ac:dyDescent="0.3">
      <c r="A101" s="11" t="s">
        <v>47</v>
      </c>
      <c r="B101" s="9">
        <v>270</v>
      </c>
      <c r="C101" s="10">
        <f t="shared" si="14"/>
        <v>4.5</v>
      </c>
      <c r="D101" s="9">
        <f>IF('[1]3, 4 , 5 PERHITUNGAN'!$K$1="semarang",F101*3,IF('[1]3, 4 , 5 PERHITUNGAN'!$K$1="banjarmasin",F101*2,F101))</f>
        <v>12</v>
      </c>
      <c r="E101" s="9">
        <f t="shared" si="15"/>
        <v>54</v>
      </c>
      <c r="F101" s="4">
        <v>4</v>
      </c>
    </row>
    <row r="102" spans="1:6" ht="24.75" customHeight="1" x14ac:dyDescent="0.3">
      <c r="A102" s="11" t="s">
        <v>48</v>
      </c>
      <c r="B102" s="9">
        <v>360</v>
      </c>
      <c r="C102" s="10">
        <f t="shared" si="14"/>
        <v>6</v>
      </c>
      <c r="D102" s="9">
        <f>IF('[1]3, 4 , 5 PERHITUNGAN'!$K$1="semarang",F102*3,IF('[1]3, 4 , 5 PERHITUNGAN'!$K$1="banjarmasin",F102*2,F102))</f>
        <v>3</v>
      </c>
      <c r="E102" s="9">
        <f t="shared" si="15"/>
        <v>18</v>
      </c>
      <c r="F102" s="4">
        <v>1</v>
      </c>
    </row>
    <row r="103" spans="1:6" ht="24.75" customHeight="1" x14ac:dyDescent="0.3">
      <c r="A103" s="11" t="s">
        <v>49</v>
      </c>
      <c r="B103" s="9">
        <v>270</v>
      </c>
      <c r="C103" s="10">
        <f t="shared" si="14"/>
        <v>4.5</v>
      </c>
      <c r="D103" s="9">
        <f>IF('[1]3, 4 , 5 PERHITUNGAN'!$K$1="semarang",F103*3,IF('[1]3, 4 , 5 PERHITUNGAN'!$K$1="banjarmasin",F103*2,F103))</f>
        <v>3</v>
      </c>
      <c r="E103" s="9">
        <f t="shared" si="15"/>
        <v>13.5</v>
      </c>
      <c r="F103" s="4">
        <v>1</v>
      </c>
    </row>
    <row r="104" spans="1:6" ht="24.75" customHeight="1" x14ac:dyDescent="0.3">
      <c r="A104" s="11" t="s">
        <v>50</v>
      </c>
      <c r="B104" s="9">
        <v>180</v>
      </c>
      <c r="C104" s="10">
        <f t="shared" si="14"/>
        <v>3</v>
      </c>
      <c r="D104" s="9">
        <f>IF('[1]3, 4 , 5 PERHITUNGAN'!$K$1="semarang",F104*3,IF('[1]3, 4 , 5 PERHITUNGAN'!$K$1="banjarmasin",F104*2,F104))</f>
        <v>3</v>
      </c>
      <c r="E104" s="9">
        <f t="shared" si="15"/>
        <v>9</v>
      </c>
      <c r="F104" s="4">
        <v>1</v>
      </c>
    </row>
    <row r="105" spans="1:6" ht="24.75" customHeight="1" x14ac:dyDescent="0.3">
      <c r="A105" s="11" t="s">
        <v>51</v>
      </c>
      <c r="B105" s="9">
        <v>180</v>
      </c>
      <c r="C105" s="10">
        <f t="shared" si="14"/>
        <v>3</v>
      </c>
      <c r="D105" s="9">
        <f>IF('[1]3, 4 , 5 PERHITUNGAN'!$K$1="semarang",F105*3,IF('[1]3, 4 , 5 PERHITUNGAN'!$K$1="banjarmasin",F105*2,F105))</f>
        <v>3</v>
      </c>
      <c r="E105" s="9">
        <f t="shared" si="15"/>
        <v>9</v>
      </c>
      <c r="F105" s="4">
        <v>1</v>
      </c>
    </row>
    <row r="106" spans="1:6" ht="24.75" customHeight="1" x14ac:dyDescent="0.3">
      <c r="A106" s="11" t="s">
        <v>52</v>
      </c>
      <c r="B106" s="9">
        <v>180</v>
      </c>
      <c r="C106" s="10">
        <f t="shared" si="14"/>
        <v>3</v>
      </c>
      <c r="D106" s="9">
        <f>IF('[1]3, 4 , 5 PERHITUNGAN'!$K$1="semarang",F106*3,IF('[1]3, 4 , 5 PERHITUNGAN'!$K$1="banjarmasin",F106*2,F106))</f>
        <v>3</v>
      </c>
      <c r="E106" s="9">
        <f t="shared" si="15"/>
        <v>9</v>
      </c>
      <c r="F106" s="4">
        <v>1</v>
      </c>
    </row>
    <row r="107" spans="1:6" ht="24.75" customHeight="1" x14ac:dyDescent="0.3">
      <c r="A107" s="11" t="s">
        <v>53</v>
      </c>
      <c r="B107" s="9">
        <v>360</v>
      </c>
      <c r="C107" s="10">
        <f t="shared" si="14"/>
        <v>6</v>
      </c>
      <c r="D107" s="9">
        <f>IF('[1]3, 4 , 5 PERHITUNGAN'!$K$1="semarang",F107*3,IF('[1]3, 4 , 5 PERHITUNGAN'!$K$1="banjarmasin",F107*2,F107))</f>
        <v>3</v>
      </c>
      <c r="E107" s="9">
        <f t="shared" si="15"/>
        <v>18</v>
      </c>
      <c r="F107" s="4">
        <v>1</v>
      </c>
    </row>
    <row r="108" spans="1:6" ht="24.75" customHeight="1" x14ac:dyDescent="0.3">
      <c r="A108" s="13" t="s">
        <v>12</v>
      </c>
      <c r="B108" s="22"/>
      <c r="C108" s="22"/>
      <c r="D108" s="23"/>
      <c r="E108" s="27">
        <f>SUM(E75:E107)</f>
        <v>2276.125</v>
      </c>
      <c r="F108" s="4"/>
    </row>
    <row r="109" spans="1:6" ht="24.75" customHeight="1" x14ac:dyDescent="0.3">
      <c r="A109" s="4"/>
      <c r="B109" s="17"/>
      <c r="C109" s="18"/>
      <c r="D109" s="17"/>
      <c r="E109" s="17"/>
      <c r="F109" s="4"/>
    </row>
    <row r="110" spans="1:6" ht="24.75" customHeight="1" x14ac:dyDescent="0.3">
      <c r="A110" s="5" t="s">
        <v>54</v>
      </c>
      <c r="B110" s="21"/>
      <c r="C110" s="21"/>
      <c r="D110" s="21"/>
      <c r="E110" s="21"/>
      <c r="F110" s="4"/>
    </row>
    <row r="111" spans="1:6" ht="24.75" customHeight="1" x14ac:dyDescent="0.3">
      <c r="A111" s="8" t="s">
        <v>1</v>
      </c>
      <c r="B111" s="9" t="s">
        <v>2</v>
      </c>
      <c r="C111" s="10" t="s">
        <v>3</v>
      </c>
      <c r="D111" s="9" t="s">
        <v>4</v>
      </c>
      <c r="E111" s="9" t="s">
        <v>5</v>
      </c>
      <c r="F111" s="4"/>
    </row>
    <row r="112" spans="1:6" ht="24.75" customHeight="1" x14ac:dyDescent="0.3">
      <c r="A112" s="11" t="s">
        <v>55</v>
      </c>
      <c r="B112" s="9">
        <v>90</v>
      </c>
      <c r="C112" s="10">
        <f t="shared" ref="C112:C138" si="16">B112/60</f>
        <v>1.5</v>
      </c>
      <c r="D112" s="9">
        <v>365</v>
      </c>
      <c r="E112" s="12">
        <f t="shared" ref="E112:E138" si="17">D112*C112</f>
        <v>547.5</v>
      </c>
      <c r="F112" s="4"/>
    </row>
    <row r="113" spans="1:6" ht="24.75" customHeight="1" x14ac:dyDescent="0.3">
      <c r="A113" s="11" t="s">
        <v>56</v>
      </c>
      <c r="B113" s="9">
        <v>90</v>
      </c>
      <c r="C113" s="10">
        <f t="shared" si="16"/>
        <v>1.5</v>
      </c>
      <c r="D113" s="9">
        <v>12</v>
      </c>
      <c r="E113" s="12">
        <f t="shared" si="17"/>
        <v>18</v>
      </c>
      <c r="F113" s="4"/>
    </row>
    <row r="114" spans="1:6" ht="24.75" customHeight="1" x14ac:dyDescent="0.3">
      <c r="A114" s="11" t="s">
        <v>57</v>
      </c>
      <c r="B114" s="9">
        <v>180</v>
      </c>
      <c r="C114" s="10">
        <f t="shared" si="16"/>
        <v>3</v>
      </c>
      <c r="D114" s="9">
        <v>6</v>
      </c>
      <c r="E114" s="12">
        <f t="shared" si="17"/>
        <v>18</v>
      </c>
      <c r="F114" s="4"/>
    </row>
    <row r="115" spans="1:6" ht="24.75" customHeight="1" x14ac:dyDescent="0.3">
      <c r="A115" s="11" t="s">
        <v>58</v>
      </c>
      <c r="B115" s="9">
        <v>270</v>
      </c>
      <c r="C115" s="10">
        <f t="shared" si="16"/>
        <v>4.5</v>
      </c>
      <c r="D115" s="9">
        <v>6</v>
      </c>
      <c r="E115" s="12">
        <f t="shared" si="17"/>
        <v>27</v>
      </c>
      <c r="F115" s="4"/>
    </row>
    <row r="116" spans="1:6" ht="24.75" customHeight="1" x14ac:dyDescent="0.3">
      <c r="A116" s="11" t="s">
        <v>11</v>
      </c>
      <c r="B116" s="9">
        <v>270</v>
      </c>
      <c r="C116" s="10">
        <f t="shared" si="16"/>
        <v>4.5</v>
      </c>
      <c r="D116" s="9">
        <v>16</v>
      </c>
      <c r="E116" s="12">
        <f t="shared" si="17"/>
        <v>72</v>
      </c>
      <c r="F116" s="4"/>
    </row>
    <row r="117" spans="1:6" ht="24.75" customHeight="1" x14ac:dyDescent="0.3">
      <c r="A117" s="11" t="s">
        <v>59</v>
      </c>
      <c r="B117" s="9">
        <v>2400</v>
      </c>
      <c r="C117" s="10">
        <f t="shared" si="16"/>
        <v>40</v>
      </c>
      <c r="D117" s="9">
        <v>1</v>
      </c>
      <c r="E117" s="12">
        <f t="shared" si="17"/>
        <v>40</v>
      </c>
      <c r="F117" s="4"/>
    </row>
    <row r="118" spans="1:6" ht="24.75" customHeight="1" x14ac:dyDescent="0.3">
      <c r="A118" s="11" t="s">
        <v>60</v>
      </c>
      <c r="B118" s="9">
        <v>735</v>
      </c>
      <c r="C118" s="10">
        <f t="shared" si="16"/>
        <v>12.25</v>
      </c>
      <c r="D118" s="9">
        <v>1</v>
      </c>
      <c r="E118" s="12">
        <f t="shared" si="17"/>
        <v>12.25</v>
      </c>
      <c r="F118" s="4"/>
    </row>
    <row r="119" spans="1:6" ht="24.75" customHeight="1" x14ac:dyDescent="0.3">
      <c r="A119" s="11" t="s">
        <v>61</v>
      </c>
      <c r="B119" s="9">
        <v>135</v>
      </c>
      <c r="C119" s="10">
        <f t="shared" si="16"/>
        <v>2.25</v>
      </c>
      <c r="D119" s="9">
        <v>12</v>
      </c>
      <c r="E119" s="12">
        <f t="shared" si="17"/>
        <v>27</v>
      </c>
      <c r="F119" s="4"/>
    </row>
    <row r="120" spans="1:6" ht="24.75" customHeight="1" x14ac:dyDescent="0.3">
      <c r="A120" s="11" t="s">
        <v>62</v>
      </c>
      <c r="B120" s="9">
        <v>180</v>
      </c>
      <c r="C120" s="10">
        <f t="shared" si="16"/>
        <v>3</v>
      </c>
      <c r="D120" s="9">
        <v>6</v>
      </c>
      <c r="E120" s="12">
        <f t="shared" si="17"/>
        <v>18</v>
      </c>
      <c r="F120" s="4"/>
    </row>
    <row r="121" spans="1:6" ht="24.75" customHeight="1" x14ac:dyDescent="0.3">
      <c r="A121" s="11" t="s">
        <v>63</v>
      </c>
      <c r="B121" s="9">
        <v>480</v>
      </c>
      <c r="C121" s="10">
        <f t="shared" si="16"/>
        <v>8</v>
      </c>
      <c r="D121" s="9">
        <v>12</v>
      </c>
      <c r="E121" s="12">
        <f t="shared" si="17"/>
        <v>96</v>
      </c>
      <c r="F121" s="4"/>
    </row>
    <row r="122" spans="1:6" ht="24.75" customHeight="1" x14ac:dyDescent="0.3">
      <c r="A122" s="11" t="s">
        <v>64</v>
      </c>
      <c r="B122" s="9">
        <v>630</v>
      </c>
      <c r="C122" s="10">
        <f t="shared" si="16"/>
        <v>10.5</v>
      </c>
      <c r="D122" s="9">
        <v>6</v>
      </c>
      <c r="E122" s="12">
        <f t="shared" si="17"/>
        <v>63</v>
      </c>
      <c r="F122" s="4"/>
    </row>
    <row r="123" spans="1:6" ht="24.75" customHeight="1" x14ac:dyDescent="0.3">
      <c r="A123" s="11" t="s">
        <v>65</v>
      </c>
      <c r="B123" s="9">
        <v>690</v>
      </c>
      <c r="C123" s="10">
        <f t="shared" si="16"/>
        <v>11.5</v>
      </c>
      <c r="D123" s="9">
        <v>3</v>
      </c>
      <c r="E123" s="12">
        <f t="shared" si="17"/>
        <v>34.5</v>
      </c>
      <c r="F123" s="4"/>
    </row>
    <row r="124" spans="1:6" ht="24.75" customHeight="1" x14ac:dyDescent="0.3">
      <c r="A124" s="11" t="s">
        <v>66</v>
      </c>
      <c r="B124" s="9">
        <v>735</v>
      </c>
      <c r="C124" s="10">
        <f t="shared" si="16"/>
        <v>12.25</v>
      </c>
      <c r="D124" s="9">
        <v>2</v>
      </c>
      <c r="E124" s="12">
        <f t="shared" si="17"/>
        <v>24.5</v>
      </c>
      <c r="F124" s="4"/>
    </row>
    <row r="125" spans="1:6" ht="24.75" customHeight="1" x14ac:dyDescent="0.3">
      <c r="A125" s="11" t="s">
        <v>67</v>
      </c>
      <c r="B125" s="9">
        <v>540</v>
      </c>
      <c r="C125" s="10">
        <f t="shared" si="16"/>
        <v>9</v>
      </c>
      <c r="D125" s="9">
        <v>2</v>
      </c>
      <c r="E125" s="12">
        <f t="shared" si="17"/>
        <v>18</v>
      </c>
      <c r="F125" s="4"/>
    </row>
    <row r="126" spans="1:6" ht="24.75" customHeight="1" x14ac:dyDescent="0.3">
      <c r="A126" s="8" t="s">
        <v>68</v>
      </c>
      <c r="B126" s="9">
        <v>540</v>
      </c>
      <c r="C126" s="10">
        <f t="shared" si="16"/>
        <v>9</v>
      </c>
      <c r="D126" s="9">
        <v>2</v>
      </c>
      <c r="E126" s="12">
        <f t="shared" si="17"/>
        <v>18</v>
      </c>
      <c r="F126" s="4"/>
    </row>
    <row r="127" spans="1:6" ht="24.75" customHeight="1" x14ac:dyDescent="0.3">
      <c r="A127" s="8" t="s">
        <v>69</v>
      </c>
      <c r="B127" s="9">
        <v>540</v>
      </c>
      <c r="C127" s="10">
        <f t="shared" si="16"/>
        <v>9</v>
      </c>
      <c r="D127" s="9">
        <v>2</v>
      </c>
      <c r="E127" s="12">
        <f t="shared" si="17"/>
        <v>18</v>
      </c>
      <c r="F127" s="4"/>
    </row>
    <row r="128" spans="1:6" ht="24.75" customHeight="1" x14ac:dyDescent="0.3">
      <c r="A128" s="8" t="s">
        <v>70</v>
      </c>
      <c r="B128" s="9">
        <v>540</v>
      </c>
      <c r="C128" s="10">
        <f t="shared" si="16"/>
        <v>9</v>
      </c>
      <c r="D128" s="9">
        <v>2</v>
      </c>
      <c r="E128" s="12">
        <f t="shared" si="17"/>
        <v>18</v>
      </c>
      <c r="F128" s="4"/>
    </row>
    <row r="129" spans="1:6" ht="24.75" customHeight="1" x14ac:dyDescent="0.3">
      <c r="A129" s="8" t="s">
        <v>71</v>
      </c>
      <c r="B129" s="9">
        <v>270</v>
      </c>
      <c r="C129" s="10">
        <f t="shared" si="16"/>
        <v>4.5</v>
      </c>
      <c r="D129" s="9">
        <v>1</v>
      </c>
      <c r="E129" s="12">
        <f t="shared" si="17"/>
        <v>4.5</v>
      </c>
      <c r="F129" s="4"/>
    </row>
    <row r="130" spans="1:6" ht="24.75" customHeight="1" x14ac:dyDescent="0.3">
      <c r="A130" s="8" t="s">
        <v>72</v>
      </c>
      <c r="B130" s="9">
        <v>480</v>
      </c>
      <c r="C130" s="10">
        <f t="shared" si="16"/>
        <v>8</v>
      </c>
      <c r="D130" s="9">
        <v>1</v>
      </c>
      <c r="E130" s="12">
        <f t="shared" si="17"/>
        <v>8</v>
      </c>
      <c r="F130" s="4"/>
    </row>
    <row r="131" spans="1:6" ht="24.75" customHeight="1" x14ac:dyDescent="0.3">
      <c r="A131" s="8" t="s">
        <v>73</v>
      </c>
      <c r="B131" s="9">
        <v>480</v>
      </c>
      <c r="C131" s="10">
        <f t="shared" si="16"/>
        <v>8</v>
      </c>
      <c r="D131" s="9">
        <v>1</v>
      </c>
      <c r="E131" s="12">
        <f t="shared" si="17"/>
        <v>8</v>
      </c>
      <c r="F131" s="4"/>
    </row>
    <row r="132" spans="1:6" ht="24.75" customHeight="1" x14ac:dyDescent="0.3">
      <c r="A132" s="8" t="s">
        <v>74</v>
      </c>
      <c r="B132" s="9">
        <v>480</v>
      </c>
      <c r="C132" s="10">
        <f t="shared" si="16"/>
        <v>8</v>
      </c>
      <c r="D132" s="9">
        <v>1</v>
      </c>
      <c r="E132" s="12">
        <f t="shared" si="17"/>
        <v>8</v>
      </c>
      <c r="F132" s="4"/>
    </row>
    <row r="133" spans="1:6" ht="24.75" customHeight="1" x14ac:dyDescent="0.3">
      <c r="A133" s="8" t="s">
        <v>75</v>
      </c>
      <c r="B133" s="9">
        <v>480</v>
      </c>
      <c r="C133" s="10">
        <f t="shared" si="16"/>
        <v>8</v>
      </c>
      <c r="D133" s="9">
        <v>1</v>
      </c>
      <c r="E133" s="12">
        <f t="shared" si="17"/>
        <v>8</v>
      </c>
      <c r="F133" s="4"/>
    </row>
    <row r="134" spans="1:6" ht="24.75" customHeight="1" x14ac:dyDescent="0.3">
      <c r="A134" s="8" t="s">
        <v>76</v>
      </c>
      <c r="B134" s="9">
        <v>480</v>
      </c>
      <c r="C134" s="10">
        <f t="shared" si="16"/>
        <v>8</v>
      </c>
      <c r="D134" s="9">
        <v>1</v>
      </c>
      <c r="E134" s="12">
        <f t="shared" si="17"/>
        <v>8</v>
      </c>
      <c r="F134" s="4"/>
    </row>
    <row r="135" spans="1:6" ht="24.75" customHeight="1" x14ac:dyDescent="0.3">
      <c r="A135" s="8" t="s">
        <v>77</v>
      </c>
      <c r="B135" s="9">
        <v>720</v>
      </c>
      <c r="C135" s="10">
        <f t="shared" si="16"/>
        <v>12</v>
      </c>
      <c r="D135" s="9">
        <v>1</v>
      </c>
      <c r="E135" s="12">
        <f t="shared" si="17"/>
        <v>12</v>
      </c>
      <c r="F135" s="4"/>
    </row>
    <row r="136" spans="1:6" ht="24.75" customHeight="1" x14ac:dyDescent="0.3">
      <c r="A136" s="8" t="s">
        <v>78</v>
      </c>
      <c r="B136" s="9">
        <v>480</v>
      </c>
      <c r="C136" s="10">
        <f t="shared" si="16"/>
        <v>8</v>
      </c>
      <c r="D136" s="9">
        <v>1</v>
      </c>
      <c r="E136" s="12">
        <f t="shared" si="17"/>
        <v>8</v>
      </c>
      <c r="F136" s="4"/>
    </row>
    <row r="137" spans="1:6" ht="24.75" customHeight="1" x14ac:dyDescent="0.3">
      <c r="A137" s="8" t="s">
        <v>79</v>
      </c>
      <c r="B137" s="9">
        <v>540</v>
      </c>
      <c r="C137" s="10">
        <f t="shared" si="16"/>
        <v>9</v>
      </c>
      <c r="D137" s="9">
        <v>1</v>
      </c>
      <c r="E137" s="12">
        <f t="shared" si="17"/>
        <v>9</v>
      </c>
      <c r="F137" s="4"/>
    </row>
    <row r="138" spans="1:6" ht="24.75" customHeight="1" x14ac:dyDescent="0.3">
      <c r="A138" s="8" t="s">
        <v>80</v>
      </c>
      <c r="B138" s="9">
        <v>720</v>
      </c>
      <c r="C138" s="10">
        <f t="shared" si="16"/>
        <v>12</v>
      </c>
      <c r="D138" s="9">
        <v>1</v>
      </c>
      <c r="E138" s="12">
        <f t="shared" si="17"/>
        <v>12</v>
      </c>
      <c r="F138" s="4"/>
    </row>
    <row r="139" spans="1:6" ht="24.75" customHeight="1" x14ac:dyDescent="0.3">
      <c r="A139" s="13" t="s">
        <v>12</v>
      </c>
      <c r="B139" s="22"/>
      <c r="C139" s="22"/>
      <c r="D139" s="23"/>
      <c r="E139" s="20">
        <f>SUM(E112:E138)</f>
        <v>1155.25</v>
      </c>
      <c r="F139" s="4"/>
    </row>
    <row r="140" spans="1:6" ht="24.75" customHeight="1" x14ac:dyDescent="0.3">
      <c r="A140" s="4"/>
      <c r="B140" s="17"/>
      <c r="C140" s="18"/>
      <c r="D140" s="17"/>
      <c r="E140" s="17"/>
      <c r="F140" s="4"/>
    </row>
    <row r="141" spans="1:6" ht="24.75" customHeight="1" x14ac:dyDescent="0.3">
      <c r="A141" s="24" t="s">
        <v>81</v>
      </c>
      <c r="B141" s="21"/>
      <c r="C141" s="21"/>
      <c r="D141" s="21"/>
      <c r="E141" s="21"/>
      <c r="F141" s="4"/>
    </row>
    <row r="142" spans="1:6" ht="24.75" customHeight="1" x14ac:dyDescent="0.3">
      <c r="A142" s="8" t="s">
        <v>1</v>
      </c>
      <c r="B142" s="9" t="s">
        <v>2</v>
      </c>
      <c r="C142" s="10" t="s">
        <v>3</v>
      </c>
      <c r="D142" s="9" t="s">
        <v>4</v>
      </c>
      <c r="E142" s="9" t="s">
        <v>5</v>
      </c>
      <c r="F142" s="4"/>
    </row>
    <row r="143" spans="1:6" ht="24.75" customHeight="1" x14ac:dyDescent="0.3">
      <c r="A143" s="11" t="s">
        <v>82</v>
      </c>
      <c r="B143" s="9">
        <v>60</v>
      </c>
      <c r="C143" s="10">
        <f t="shared" ref="C143:C144" si="18">B143/60</f>
        <v>1</v>
      </c>
      <c r="D143" s="9">
        <v>12</v>
      </c>
      <c r="E143" s="12">
        <f t="shared" ref="E143:E144" si="19">D143*C143</f>
        <v>12</v>
      </c>
      <c r="F143" s="4"/>
    </row>
    <row r="144" spans="1:6" ht="24.75" customHeight="1" x14ac:dyDescent="0.3">
      <c r="A144" s="11" t="s">
        <v>55</v>
      </c>
      <c r="B144" s="9">
        <v>25</v>
      </c>
      <c r="C144" s="10">
        <f t="shared" si="18"/>
        <v>0.41666666666666669</v>
      </c>
      <c r="D144" s="9">
        <v>365</v>
      </c>
      <c r="E144" s="12">
        <f t="shared" si="19"/>
        <v>152.08333333333334</v>
      </c>
      <c r="F144" s="4"/>
    </row>
    <row r="145" spans="1:6" ht="24.75" customHeight="1" x14ac:dyDescent="0.3">
      <c r="A145" s="13" t="s">
        <v>12</v>
      </c>
      <c r="B145" s="22"/>
      <c r="C145" s="22"/>
      <c r="D145" s="23"/>
      <c r="E145" s="20">
        <f>SUM(E143:E144)</f>
        <v>164.08333333333334</v>
      </c>
      <c r="F145" s="4"/>
    </row>
    <row r="146" spans="1:6" ht="24.75" customHeight="1" x14ac:dyDescent="0.3">
      <c r="A146" s="4"/>
      <c r="B146" s="17"/>
      <c r="C146" s="18"/>
      <c r="D146" s="17"/>
      <c r="E146" s="17"/>
      <c r="F146" s="4"/>
    </row>
    <row r="147" spans="1:6" ht="24.75" customHeight="1" x14ac:dyDescent="0.3">
      <c r="A147" s="24" t="s">
        <v>83</v>
      </c>
      <c r="B147" s="21"/>
      <c r="C147" s="21"/>
      <c r="D147" s="21"/>
      <c r="E147" s="21"/>
      <c r="F147" s="4"/>
    </row>
    <row r="148" spans="1:6" ht="24.75" customHeight="1" x14ac:dyDescent="0.3">
      <c r="A148" s="8" t="s">
        <v>1</v>
      </c>
      <c r="B148" s="9" t="s">
        <v>2</v>
      </c>
      <c r="C148" s="10" t="s">
        <v>3</v>
      </c>
      <c r="D148" s="9" t="s">
        <v>4</v>
      </c>
      <c r="E148" s="9" t="s">
        <v>5</v>
      </c>
      <c r="F148" s="4"/>
    </row>
    <row r="149" spans="1:6" ht="24.75" customHeight="1" x14ac:dyDescent="0.3">
      <c r="A149" s="11" t="s">
        <v>84</v>
      </c>
      <c r="B149" s="9">
        <v>60</v>
      </c>
      <c r="C149" s="10">
        <f t="shared" ref="C149:C150" si="20">B149/60</f>
        <v>1</v>
      </c>
      <c r="D149" s="9">
        <v>12</v>
      </c>
      <c r="E149" s="12">
        <f t="shared" ref="E149:E150" si="21">D149*C149</f>
        <v>12</v>
      </c>
      <c r="F149" s="4"/>
    </row>
    <row r="150" spans="1:6" ht="24.75" customHeight="1" x14ac:dyDescent="0.3">
      <c r="A150" s="11" t="s">
        <v>55</v>
      </c>
      <c r="B150" s="9">
        <v>50</v>
      </c>
      <c r="C150" s="10">
        <f t="shared" si="20"/>
        <v>0.83333333333333337</v>
      </c>
      <c r="D150" s="9">
        <v>365</v>
      </c>
      <c r="E150" s="12">
        <f t="shared" si="21"/>
        <v>304.16666666666669</v>
      </c>
      <c r="F150" s="4"/>
    </row>
    <row r="151" spans="1:6" ht="24.75" customHeight="1" x14ac:dyDescent="0.3">
      <c r="A151" s="13" t="s">
        <v>12</v>
      </c>
      <c r="B151" s="22"/>
      <c r="C151" s="22"/>
      <c r="D151" s="23"/>
      <c r="E151" s="20">
        <f>SUM(E149:E150)</f>
        <v>316.16666666666669</v>
      </c>
      <c r="F151" s="4"/>
    </row>
    <row r="152" spans="1:6" ht="24.75" customHeight="1" x14ac:dyDescent="0.3">
      <c r="A152" s="4"/>
      <c r="B152" s="17"/>
      <c r="C152" s="18"/>
      <c r="D152" s="17"/>
      <c r="E152" s="17"/>
      <c r="F152" s="4"/>
    </row>
    <row r="153" spans="1:6" ht="24.75" customHeight="1" x14ac:dyDescent="0.3">
      <c r="A153" s="24" t="s">
        <v>85</v>
      </c>
      <c r="B153" s="21"/>
      <c r="C153" s="21"/>
      <c r="D153" s="21"/>
      <c r="E153" s="21"/>
      <c r="F153" s="4"/>
    </row>
    <row r="154" spans="1:6" ht="24.75" customHeight="1" x14ac:dyDescent="0.3">
      <c r="A154" s="8" t="s">
        <v>1</v>
      </c>
      <c r="B154" s="9" t="s">
        <v>2</v>
      </c>
      <c r="C154" s="10" t="s">
        <v>3</v>
      </c>
      <c r="D154" s="9" t="s">
        <v>4</v>
      </c>
      <c r="E154" s="9" t="s">
        <v>5</v>
      </c>
      <c r="F154" s="4"/>
    </row>
    <row r="155" spans="1:6" ht="24.75" customHeight="1" x14ac:dyDescent="0.3">
      <c r="A155" s="8" t="s">
        <v>86</v>
      </c>
      <c r="B155" s="9">
        <v>60</v>
      </c>
      <c r="C155" s="10">
        <f t="shared" ref="C155:C160" si="22">B155/60</f>
        <v>1</v>
      </c>
      <c r="D155" s="9">
        <v>365</v>
      </c>
      <c r="E155" s="12">
        <f t="shared" ref="E155:E160" si="23">D155*C155</f>
        <v>365</v>
      </c>
      <c r="F155" s="4"/>
    </row>
    <row r="156" spans="1:6" ht="24.75" customHeight="1" x14ac:dyDescent="0.3">
      <c r="A156" s="8" t="s">
        <v>87</v>
      </c>
      <c r="B156" s="9">
        <v>180</v>
      </c>
      <c r="C156" s="10">
        <f t="shared" si="22"/>
        <v>3</v>
      </c>
      <c r="D156" s="9">
        <v>6</v>
      </c>
      <c r="E156" s="12">
        <f t="shared" si="23"/>
        <v>18</v>
      </c>
      <c r="F156" s="4"/>
    </row>
    <row r="157" spans="1:6" ht="24.75" customHeight="1" x14ac:dyDescent="0.3">
      <c r="A157" s="8" t="s">
        <v>88</v>
      </c>
      <c r="B157" s="9">
        <v>180</v>
      </c>
      <c r="C157" s="10">
        <f t="shared" si="22"/>
        <v>3</v>
      </c>
      <c r="D157" s="9">
        <v>6</v>
      </c>
      <c r="E157" s="12">
        <f t="shared" si="23"/>
        <v>18</v>
      </c>
      <c r="F157" s="4"/>
    </row>
    <row r="158" spans="1:6" ht="24.75" customHeight="1" x14ac:dyDescent="0.3">
      <c r="A158" s="8" t="s">
        <v>89</v>
      </c>
      <c r="B158" s="9">
        <v>180</v>
      </c>
      <c r="C158" s="10">
        <f t="shared" si="22"/>
        <v>3</v>
      </c>
      <c r="D158" s="9">
        <v>6</v>
      </c>
      <c r="E158" s="12">
        <f t="shared" si="23"/>
        <v>18</v>
      </c>
      <c r="F158" s="4"/>
    </row>
    <row r="159" spans="1:6" ht="24.75" customHeight="1" x14ac:dyDescent="0.3">
      <c r="A159" s="8" t="s">
        <v>90</v>
      </c>
      <c r="B159" s="9">
        <v>360</v>
      </c>
      <c r="C159" s="10">
        <f t="shared" si="22"/>
        <v>6</v>
      </c>
      <c r="D159" s="9">
        <v>3</v>
      </c>
      <c r="E159" s="12">
        <f t="shared" si="23"/>
        <v>18</v>
      </c>
      <c r="F159" s="4"/>
    </row>
    <row r="160" spans="1:6" ht="24.75" customHeight="1" x14ac:dyDescent="0.3">
      <c r="A160" s="8" t="s">
        <v>91</v>
      </c>
      <c r="B160" s="9">
        <v>495</v>
      </c>
      <c r="C160" s="10">
        <f t="shared" si="22"/>
        <v>8.25</v>
      </c>
      <c r="D160" s="9">
        <v>3</v>
      </c>
      <c r="E160" s="12">
        <f t="shared" si="23"/>
        <v>24.75</v>
      </c>
      <c r="F160" s="4"/>
    </row>
    <row r="161" spans="1:8" ht="24.75" customHeight="1" x14ac:dyDescent="0.3">
      <c r="A161" s="13" t="s">
        <v>12</v>
      </c>
      <c r="B161" s="22"/>
      <c r="C161" s="22"/>
      <c r="D161" s="23"/>
      <c r="E161" s="20">
        <f>SUM(E155:E160)</f>
        <v>461.75</v>
      </c>
      <c r="F161" s="4"/>
    </row>
    <row r="162" spans="1:8" ht="24.75" customHeight="1" x14ac:dyDescent="0.3">
      <c r="A162" s="4"/>
      <c r="B162" s="17"/>
      <c r="C162" s="18"/>
      <c r="D162" s="17"/>
      <c r="E162" s="17"/>
      <c r="F162" s="4"/>
    </row>
    <row r="163" spans="1:8" ht="24.75" customHeight="1" x14ac:dyDescent="0.3">
      <c r="A163" s="5" t="s">
        <v>92</v>
      </c>
      <c r="B163" s="21"/>
      <c r="C163" s="21"/>
      <c r="D163" s="21"/>
      <c r="E163" s="21"/>
      <c r="F163" s="7">
        <v>3</v>
      </c>
    </row>
    <row r="164" spans="1:8" ht="24.75" customHeight="1" x14ac:dyDescent="0.3">
      <c r="A164" s="8" t="s">
        <v>1</v>
      </c>
      <c r="B164" s="9" t="s">
        <v>2</v>
      </c>
      <c r="C164" s="10" t="s">
        <v>3</v>
      </c>
      <c r="D164" s="9" t="s">
        <v>4</v>
      </c>
      <c r="E164" s="9" t="s">
        <v>5</v>
      </c>
      <c r="F164" s="4"/>
    </row>
    <row r="165" spans="1:8" ht="24.75" customHeight="1" x14ac:dyDescent="0.3">
      <c r="A165" s="8" t="s">
        <v>93</v>
      </c>
      <c r="B165" s="9">
        <v>135</v>
      </c>
      <c r="C165" s="10">
        <f t="shared" ref="C165:C201" si="24">B165/60</f>
        <v>2.25</v>
      </c>
      <c r="D165" s="9">
        <v>365</v>
      </c>
      <c r="E165" s="12">
        <f t="shared" ref="E165:E201" si="25">D165*C165</f>
        <v>821.25</v>
      </c>
      <c r="F165" s="4"/>
    </row>
    <row r="166" spans="1:8" ht="24.75" customHeight="1" x14ac:dyDescent="0.3">
      <c r="A166" s="8" t="s">
        <v>94</v>
      </c>
      <c r="B166" s="9">
        <v>1530</v>
      </c>
      <c r="C166" s="10">
        <f t="shared" si="24"/>
        <v>25.5</v>
      </c>
      <c r="D166" s="9">
        <v>1</v>
      </c>
      <c r="E166" s="12">
        <f t="shared" si="25"/>
        <v>25.5</v>
      </c>
      <c r="F166" s="4">
        <v>1</v>
      </c>
      <c r="H166" s="28">
        <v>1</v>
      </c>
    </row>
    <row r="167" spans="1:8" ht="24.75" customHeight="1" x14ac:dyDescent="0.3">
      <c r="A167" s="8" t="s">
        <v>95</v>
      </c>
      <c r="B167" s="9">
        <v>480</v>
      </c>
      <c r="C167" s="10">
        <f t="shared" si="24"/>
        <v>8</v>
      </c>
      <c r="D167" s="9">
        <f>IF('[1]3, 4 , 5 PERHITUNGAN'!$K$1="semarang",F167*3,F167)</f>
        <v>6</v>
      </c>
      <c r="E167" s="12">
        <f t="shared" si="25"/>
        <v>48</v>
      </c>
      <c r="F167" s="4">
        <v>2</v>
      </c>
    </row>
    <row r="168" spans="1:8" ht="24.75" customHeight="1" x14ac:dyDescent="0.3">
      <c r="A168" s="8" t="s">
        <v>96</v>
      </c>
      <c r="B168" s="9">
        <v>2160</v>
      </c>
      <c r="C168" s="10">
        <f t="shared" si="24"/>
        <v>36</v>
      </c>
      <c r="D168" s="9">
        <v>1</v>
      </c>
      <c r="E168" s="12">
        <f t="shared" si="25"/>
        <v>36</v>
      </c>
      <c r="F168" s="4">
        <v>1</v>
      </c>
    </row>
    <row r="169" spans="1:8" ht="24.75" customHeight="1" x14ac:dyDescent="0.3">
      <c r="A169" s="8" t="s">
        <v>97</v>
      </c>
      <c r="B169" s="9">
        <v>180</v>
      </c>
      <c r="C169" s="10">
        <f t="shared" si="24"/>
        <v>3</v>
      </c>
      <c r="D169" s="9">
        <f>IF('[1]3, 4 , 5 PERHITUNGAN'!$K$1="semarang",F169*3,F169)</f>
        <v>18</v>
      </c>
      <c r="E169" s="12">
        <f t="shared" si="25"/>
        <v>54</v>
      </c>
      <c r="F169" s="4">
        <v>6</v>
      </c>
    </row>
    <row r="170" spans="1:8" ht="24.75" customHeight="1" x14ac:dyDescent="0.3">
      <c r="A170" s="8" t="s">
        <v>98</v>
      </c>
      <c r="B170" s="9">
        <v>180</v>
      </c>
      <c r="C170" s="10">
        <f t="shared" si="24"/>
        <v>3</v>
      </c>
      <c r="D170" s="9">
        <f>IF('[1]3, 4 , 5 PERHITUNGAN'!$K$1="semarang",F170*3,F170)</f>
        <v>36</v>
      </c>
      <c r="E170" s="12">
        <f t="shared" si="25"/>
        <v>108</v>
      </c>
      <c r="F170" s="4">
        <v>12</v>
      </c>
    </row>
    <row r="171" spans="1:8" ht="24.75" customHeight="1" x14ac:dyDescent="0.3">
      <c r="A171" s="8" t="s">
        <v>99</v>
      </c>
      <c r="B171" s="9">
        <v>270</v>
      </c>
      <c r="C171" s="10">
        <f t="shared" si="24"/>
        <v>4.5</v>
      </c>
      <c r="D171" s="9">
        <f>IF('[1]3, 4 , 5 PERHITUNGAN'!$K$1="semarang",F171*3,F171)</f>
        <v>18</v>
      </c>
      <c r="E171" s="12">
        <f t="shared" si="25"/>
        <v>81</v>
      </c>
      <c r="F171" s="4">
        <v>6</v>
      </c>
    </row>
    <row r="172" spans="1:8" ht="24.75" customHeight="1" x14ac:dyDescent="0.3">
      <c r="A172" s="8" t="s">
        <v>100</v>
      </c>
      <c r="B172" s="9">
        <v>90</v>
      </c>
      <c r="C172" s="10">
        <f t="shared" si="24"/>
        <v>1.5</v>
      </c>
      <c r="D172" s="9">
        <f>IF('[1]3, 4 , 5 PERHITUNGAN'!$K$1="semarang",F172*3,F172)</f>
        <v>18</v>
      </c>
      <c r="E172" s="12">
        <f t="shared" si="25"/>
        <v>27</v>
      </c>
      <c r="F172" s="4">
        <v>6</v>
      </c>
    </row>
    <row r="173" spans="1:8" ht="24.75" customHeight="1" x14ac:dyDescent="0.3">
      <c r="A173" s="8" t="s">
        <v>101</v>
      </c>
      <c r="B173" s="9">
        <v>90</v>
      </c>
      <c r="C173" s="10">
        <f t="shared" si="24"/>
        <v>1.5</v>
      </c>
      <c r="D173" s="9">
        <f>IF('[1]3, 4 , 5 PERHITUNGAN'!$K$1="semarang",F173*3,F173)</f>
        <v>18</v>
      </c>
      <c r="E173" s="12">
        <f t="shared" si="25"/>
        <v>27</v>
      </c>
      <c r="F173" s="4">
        <v>6</v>
      </c>
    </row>
    <row r="174" spans="1:8" ht="24.75" customHeight="1" x14ac:dyDescent="0.3">
      <c r="A174" s="8" t="s">
        <v>102</v>
      </c>
      <c r="B174" s="9">
        <v>135</v>
      </c>
      <c r="C174" s="10">
        <f t="shared" si="24"/>
        <v>2.25</v>
      </c>
      <c r="D174" s="9">
        <f>IF('[1]3, 4 , 5 PERHITUNGAN'!$K$1="semarang",F174*3,F174)</f>
        <v>12</v>
      </c>
      <c r="E174" s="12">
        <f t="shared" si="25"/>
        <v>27</v>
      </c>
      <c r="F174" s="4">
        <v>4</v>
      </c>
    </row>
    <row r="175" spans="1:8" ht="24.75" customHeight="1" x14ac:dyDescent="0.3">
      <c r="A175" s="8" t="s">
        <v>103</v>
      </c>
      <c r="B175" s="9">
        <v>90</v>
      </c>
      <c r="C175" s="10">
        <f t="shared" si="24"/>
        <v>1.5</v>
      </c>
      <c r="D175" s="9">
        <f>IF('[1]3, 4 , 5 PERHITUNGAN'!$K$1="semarang",F175*3,F175)</f>
        <v>12</v>
      </c>
      <c r="E175" s="12">
        <f t="shared" si="25"/>
        <v>18</v>
      </c>
      <c r="F175" s="4">
        <v>4</v>
      </c>
    </row>
    <row r="176" spans="1:8" ht="24.75" customHeight="1" x14ac:dyDescent="0.3">
      <c r="A176" s="8" t="s">
        <v>104</v>
      </c>
      <c r="B176" s="9">
        <v>90</v>
      </c>
      <c r="C176" s="10">
        <f t="shared" si="24"/>
        <v>1.5</v>
      </c>
      <c r="D176" s="9">
        <f>IF('[1]3, 4 , 5 PERHITUNGAN'!$K$1="semarang",F176*3,F176)</f>
        <v>12</v>
      </c>
      <c r="E176" s="12">
        <f t="shared" si="25"/>
        <v>18</v>
      </c>
      <c r="F176" s="4">
        <v>4</v>
      </c>
    </row>
    <row r="177" spans="1:6" ht="24.75" customHeight="1" x14ac:dyDescent="0.3">
      <c r="A177" s="8" t="s">
        <v>105</v>
      </c>
      <c r="B177" s="9">
        <v>480</v>
      </c>
      <c r="C177" s="10">
        <f t="shared" si="24"/>
        <v>8</v>
      </c>
      <c r="D177" s="9">
        <f>IF('[1]3, 4 , 5 PERHITUNGAN'!$K$1="semarang",F177*3,F177)</f>
        <v>3</v>
      </c>
      <c r="E177" s="12">
        <f t="shared" si="25"/>
        <v>24</v>
      </c>
      <c r="F177" s="4">
        <v>1</v>
      </c>
    </row>
    <row r="178" spans="1:6" ht="24.75" customHeight="1" x14ac:dyDescent="0.3">
      <c r="A178" s="8" t="s">
        <v>106</v>
      </c>
      <c r="B178" s="9">
        <v>480</v>
      </c>
      <c r="C178" s="10">
        <f t="shared" si="24"/>
        <v>8</v>
      </c>
      <c r="D178" s="9">
        <f>IF('[1]3, 4 , 5 PERHITUNGAN'!$K$1="semarang",F178*3,F178)</f>
        <v>3</v>
      </c>
      <c r="E178" s="12">
        <f t="shared" si="25"/>
        <v>24</v>
      </c>
      <c r="F178" s="4">
        <v>1</v>
      </c>
    </row>
    <row r="179" spans="1:6" ht="24.75" customHeight="1" x14ac:dyDescent="0.3">
      <c r="A179" s="8" t="s">
        <v>107</v>
      </c>
      <c r="B179" s="9">
        <v>90</v>
      </c>
      <c r="C179" s="10">
        <f t="shared" si="24"/>
        <v>1.5</v>
      </c>
      <c r="D179" s="9">
        <f>IF('[1]3, 4 , 5 PERHITUNGAN'!$K$1="semarang",F179*3,F179)</f>
        <v>36</v>
      </c>
      <c r="E179" s="12">
        <f t="shared" si="25"/>
        <v>54</v>
      </c>
      <c r="F179" s="4">
        <v>12</v>
      </c>
    </row>
    <row r="180" spans="1:6" ht="24.75" customHeight="1" x14ac:dyDescent="0.3">
      <c r="A180" s="8" t="s">
        <v>108</v>
      </c>
      <c r="B180" s="9">
        <v>180</v>
      </c>
      <c r="C180" s="10">
        <f t="shared" si="24"/>
        <v>3</v>
      </c>
      <c r="D180" s="9">
        <f>IF('[1]3, 4 , 5 PERHITUNGAN'!$K$1="semarang",F180*3,F180)</f>
        <v>6</v>
      </c>
      <c r="E180" s="12">
        <f t="shared" si="25"/>
        <v>18</v>
      </c>
      <c r="F180" s="4">
        <v>2</v>
      </c>
    </row>
    <row r="181" spans="1:6" ht="24.75" customHeight="1" x14ac:dyDescent="0.3">
      <c r="A181" s="8" t="s">
        <v>109</v>
      </c>
      <c r="B181" s="9">
        <v>382.5</v>
      </c>
      <c r="C181" s="10">
        <f t="shared" si="24"/>
        <v>6.375</v>
      </c>
      <c r="D181" s="9">
        <f>IF('[1]3, 4 , 5 PERHITUNGAN'!$K$1="semarang",F181+2,F181)</f>
        <v>4</v>
      </c>
      <c r="E181" s="12">
        <f t="shared" si="25"/>
        <v>25.5</v>
      </c>
      <c r="F181" s="4">
        <v>2</v>
      </c>
    </row>
    <row r="182" spans="1:6" ht="24.75" customHeight="1" x14ac:dyDescent="0.3">
      <c r="A182" s="8" t="s">
        <v>110</v>
      </c>
      <c r="B182" s="9">
        <v>315</v>
      </c>
      <c r="C182" s="10">
        <f t="shared" si="24"/>
        <v>5.25</v>
      </c>
      <c r="D182" s="9">
        <f>IF('[1]3, 4 , 5 PERHITUNGAN'!$K$1="semarang",F182+4,F182)</f>
        <v>12</v>
      </c>
      <c r="E182" s="12">
        <f t="shared" si="25"/>
        <v>63</v>
      </c>
      <c r="F182" s="4">
        <v>8</v>
      </c>
    </row>
    <row r="183" spans="1:6" ht="24.75" customHeight="1" x14ac:dyDescent="0.3">
      <c r="A183" s="8" t="s">
        <v>111</v>
      </c>
      <c r="B183" s="9">
        <v>427.5</v>
      </c>
      <c r="C183" s="10">
        <f t="shared" si="24"/>
        <v>7.125</v>
      </c>
      <c r="D183" s="9">
        <v>2</v>
      </c>
      <c r="E183" s="12">
        <f t="shared" si="25"/>
        <v>14.25</v>
      </c>
      <c r="F183" s="4">
        <v>2</v>
      </c>
    </row>
    <row r="184" spans="1:6" ht="24.75" customHeight="1" x14ac:dyDescent="0.3">
      <c r="A184" s="8" t="s">
        <v>112</v>
      </c>
      <c r="B184" s="9">
        <v>90</v>
      </c>
      <c r="C184" s="10">
        <f t="shared" si="24"/>
        <v>1.5</v>
      </c>
      <c r="D184" s="9">
        <f>IF('[1]3, 4 , 5 PERHITUNGAN'!$K$1="semarang",F184*3,F184)</f>
        <v>18</v>
      </c>
      <c r="E184" s="12">
        <f t="shared" si="25"/>
        <v>27</v>
      </c>
      <c r="F184" s="4">
        <v>6</v>
      </c>
    </row>
    <row r="185" spans="1:6" ht="24.75" customHeight="1" x14ac:dyDescent="0.3">
      <c r="A185" s="8" t="s">
        <v>113</v>
      </c>
      <c r="B185" s="9">
        <v>90</v>
      </c>
      <c r="C185" s="10">
        <f t="shared" si="24"/>
        <v>1.5</v>
      </c>
      <c r="D185" s="9">
        <f>IF('[1]3, 4 , 5 PERHITUNGAN'!$K$1="semarang",F185*3,F185)</f>
        <v>18</v>
      </c>
      <c r="E185" s="12">
        <f t="shared" si="25"/>
        <v>27</v>
      </c>
      <c r="F185" s="4">
        <v>6</v>
      </c>
    </row>
    <row r="186" spans="1:6" ht="24.75" customHeight="1" x14ac:dyDescent="0.3">
      <c r="A186" s="8" t="s">
        <v>114</v>
      </c>
      <c r="B186" s="9">
        <v>90</v>
      </c>
      <c r="C186" s="10">
        <f t="shared" si="24"/>
        <v>1.5</v>
      </c>
      <c r="D186" s="9">
        <f>IF('[1]3, 4 , 5 PERHITUNGAN'!$K$1="semarang",F186*3,F186)</f>
        <v>18</v>
      </c>
      <c r="E186" s="12">
        <f t="shared" si="25"/>
        <v>27</v>
      </c>
      <c r="F186" s="4">
        <v>6</v>
      </c>
    </row>
    <row r="187" spans="1:6" ht="24.75" customHeight="1" x14ac:dyDescent="0.3">
      <c r="A187" s="8" t="s">
        <v>115</v>
      </c>
      <c r="B187" s="9">
        <v>90</v>
      </c>
      <c r="C187" s="10">
        <f t="shared" si="24"/>
        <v>1.5</v>
      </c>
      <c r="D187" s="9">
        <f>IF('[1]3, 4 , 5 PERHITUNGAN'!$K$1="semarang",F187*3,F187)</f>
        <v>18</v>
      </c>
      <c r="E187" s="12">
        <f t="shared" si="25"/>
        <v>27</v>
      </c>
      <c r="F187" s="4">
        <v>6</v>
      </c>
    </row>
    <row r="188" spans="1:6" ht="24.75" customHeight="1" x14ac:dyDescent="0.3">
      <c r="A188" s="8" t="s">
        <v>116</v>
      </c>
      <c r="B188" s="9">
        <v>480</v>
      </c>
      <c r="C188" s="10">
        <f t="shared" si="24"/>
        <v>8</v>
      </c>
      <c r="D188" s="9">
        <f>IF('[1]3, 4 , 5 PERHITUNGAN'!$K$1="semarang",F188*3,F188)</f>
        <v>6</v>
      </c>
      <c r="E188" s="12">
        <f t="shared" si="25"/>
        <v>48</v>
      </c>
      <c r="F188" s="4">
        <v>2</v>
      </c>
    </row>
    <row r="189" spans="1:6" ht="24.75" customHeight="1" x14ac:dyDescent="0.3">
      <c r="A189" s="8" t="s">
        <v>117</v>
      </c>
      <c r="B189" s="9">
        <v>540</v>
      </c>
      <c r="C189" s="10">
        <f t="shared" si="24"/>
        <v>9</v>
      </c>
      <c r="D189" s="9">
        <f>IF('[1]3, 4 , 5 PERHITUNGAN'!$K$1="semarang",F189*3,F189)</f>
        <v>12</v>
      </c>
      <c r="E189" s="12">
        <f t="shared" si="25"/>
        <v>108</v>
      </c>
      <c r="F189" s="4">
        <v>4</v>
      </c>
    </row>
    <row r="190" spans="1:6" ht="24.75" customHeight="1" x14ac:dyDescent="0.3">
      <c r="A190" s="8" t="s">
        <v>118</v>
      </c>
      <c r="B190" s="9">
        <v>135</v>
      </c>
      <c r="C190" s="10">
        <f t="shared" si="24"/>
        <v>2.25</v>
      </c>
      <c r="D190" s="9">
        <f>IF('[1]3, 4 , 5 PERHITUNGAN'!$K$1="semarang",F190*3,F190)</f>
        <v>36</v>
      </c>
      <c r="E190" s="12">
        <f t="shared" si="25"/>
        <v>81</v>
      </c>
      <c r="F190" s="4">
        <v>12</v>
      </c>
    </row>
    <row r="191" spans="1:6" ht="24.75" customHeight="1" x14ac:dyDescent="0.3">
      <c r="A191" s="8" t="s">
        <v>119</v>
      </c>
      <c r="B191" s="9">
        <v>135</v>
      </c>
      <c r="C191" s="10">
        <f t="shared" si="24"/>
        <v>2.25</v>
      </c>
      <c r="D191" s="9">
        <f>IF('[1]3, 4 , 5 PERHITUNGAN'!$K$1="semarang",F191*3,F191)</f>
        <v>36</v>
      </c>
      <c r="E191" s="12">
        <f t="shared" si="25"/>
        <v>81</v>
      </c>
      <c r="F191" s="4">
        <v>12</v>
      </c>
    </row>
    <row r="192" spans="1:6" ht="24.75" customHeight="1" x14ac:dyDescent="0.3">
      <c r="A192" s="8" t="s">
        <v>120</v>
      </c>
      <c r="B192" s="9">
        <v>135</v>
      </c>
      <c r="C192" s="10">
        <f t="shared" si="24"/>
        <v>2.25</v>
      </c>
      <c r="D192" s="9">
        <f>IF('[1]3, 4 , 5 PERHITUNGAN'!$K$1="semarang",F192*3,F192)</f>
        <v>12</v>
      </c>
      <c r="E192" s="12">
        <f t="shared" si="25"/>
        <v>27</v>
      </c>
      <c r="F192" s="4">
        <v>4</v>
      </c>
    </row>
    <row r="193" spans="1:6" ht="24.75" customHeight="1" x14ac:dyDescent="0.3">
      <c r="A193" s="8" t="s">
        <v>121</v>
      </c>
      <c r="B193" s="9">
        <v>135</v>
      </c>
      <c r="C193" s="10">
        <f t="shared" si="24"/>
        <v>2.25</v>
      </c>
      <c r="D193" s="9">
        <f>IF('[1]3, 4 , 5 PERHITUNGAN'!$K$1="semarang",F193*3,F193)</f>
        <v>12</v>
      </c>
      <c r="E193" s="12">
        <f t="shared" si="25"/>
        <v>27</v>
      </c>
      <c r="F193" s="4">
        <v>4</v>
      </c>
    </row>
    <row r="194" spans="1:6" ht="24.75" customHeight="1" x14ac:dyDescent="0.3">
      <c r="A194" s="8" t="s">
        <v>122</v>
      </c>
      <c r="B194" s="9">
        <v>270</v>
      </c>
      <c r="C194" s="10">
        <f t="shared" si="24"/>
        <v>4.5</v>
      </c>
      <c r="D194" s="9">
        <f>IF('[1]3, 4 , 5 PERHITUNGAN'!$K$1="semarang",F194*3,F194)</f>
        <v>3</v>
      </c>
      <c r="E194" s="12">
        <f t="shared" si="25"/>
        <v>13.5</v>
      </c>
      <c r="F194" s="4">
        <v>1</v>
      </c>
    </row>
    <row r="195" spans="1:6" ht="24.75" customHeight="1" x14ac:dyDescent="0.3">
      <c r="A195" s="8" t="s">
        <v>123</v>
      </c>
      <c r="B195" s="9">
        <v>270</v>
      </c>
      <c r="C195" s="10">
        <f t="shared" si="24"/>
        <v>4.5</v>
      </c>
      <c r="D195" s="9">
        <f>IF('[1]3, 4 , 5 PERHITUNGAN'!$K$1="semarang",F195*3,F195)</f>
        <v>3</v>
      </c>
      <c r="E195" s="12">
        <f t="shared" si="25"/>
        <v>13.5</v>
      </c>
      <c r="F195" s="4">
        <v>1</v>
      </c>
    </row>
    <row r="196" spans="1:6" ht="24.75" customHeight="1" x14ac:dyDescent="0.3">
      <c r="A196" s="8" t="s">
        <v>124</v>
      </c>
      <c r="B196" s="9">
        <v>270</v>
      </c>
      <c r="C196" s="10">
        <f t="shared" si="24"/>
        <v>4.5</v>
      </c>
      <c r="D196" s="9">
        <f>IF('[1]3, 4 , 5 PERHITUNGAN'!$K$1="semarang",F196*3,F196)</f>
        <v>3</v>
      </c>
      <c r="E196" s="12">
        <f t="shared" si="25"/>
        <v>13.5</v>
      </c>
      <c r="F196" s="4">
        <v>1</v>
      </c>
    </row>
    <row r="197" spans="1:6" ht="24.75" customHeight="1" x14ac:dyDescent="0.3">
      <c r="A197" s="8" t="s">
        <v>125</v>
      </c>
      <c r="B197" s="9">
        <v>270</v>
      </c>
      <c r="C197" s="10">
        <f t="shared" si="24"/>
        <v>4.5</v>
      </c>
      <c r="D197" s="9">
        <f>IF('[1]3, 4 , 5 PERHITUNGAN'!$K$1="semarang",F197*3,F197)</f>
        <v>3</v>
      </c>
      <c r="E197" s="9">
        <f t="shared" si="25"/>
        <v>13.5</v>
      </c>
      <c r="F197" s="4">
        <v>1</v>
      </c>
    </row>
    <row r="198" spans="1:6" ht="24.75" customHeight="1" x14ac:dyDescent="0.3">
      <c r="A198" s="8" t="s">
        <v>126</v>
      </c>
      <c r="B198" s="9">
        <v>480</v>
      </c>
      <c r="C198" s="10">
        <f t="shared" si="24"/>
        <v>8</v>
      </c>
      <c r="D198" s="9">
        <f>IF('[1]3, 4 , 5 PERHITUNGAN'!$K$1="semarang",F198*3,F198)</f>
        <v>3</v>
      </c>
      <c r="E198" s="9">
        <f t="shared" si="25"/>
        <v>24</v>
      </c>
      <c r="F198" s="4">
        <v>1</v>
      </c>
    </row>
    <row r="199" spans="1:6" ht="24.75" customHeight="1" x14ac:dyDescent="0.3">
      <c r="A199" s="8" t="s">
        <v>127</v>
      </c>
      <c r="B199" s="9">
        <v>180</v>
      </c>
      <c r="C199" s="10">
        <f t="shared" si="24"/>
        <v>3</v>
      </c>
      <c r="D199" s="9">
        <f>IF('[1]3, 4 , 5 PERHITUNGAN'!$K$1="semarang",F199*3,F199)</f>
        <v>3</v>
      </c>
      <c r="E199" s="9">
        <f t="shared" si="25"/>
        <v>9</v>
      </c>
      <c r="F199" s="4">
        <v>1</v>
      </c>
    </row>
    <row r="200" spans="1:6" ht="24.75" customHeight="1" x14ac:dyDescent="0.3">
      <c r="A200" s="8" t="s">
        <v>128</v>
      </c>
      <c r="B200" s="9">
        <v>180</v>
      </c>
      <c r="C200" s="10">
        <f t="shared" si="24"/>
        <v>3</v>
      </c>
      <c r="D200" s="9">
        <f>IF('[1]3, 4 , 5 PERHITUNGAN'!$K$1="semarang",F200*3,F200)</f>
        <v>3</v>
      </c>
      <c r="E200" s="9">
        <f t="shared" si="25"/>
        <v>9</v>
      </c>
      <c r="F200" s="4">
        <v>1</v>
      </c>
    </row>
    <row r="201" spans="1:6" ht="24.75" customHeight="1" x14ac:dyDescent="0.3">
      <c r="A201" s="8" t="s">
        <v>129</v>
      </c>
      <c r="B201" s="9">
        <v>270</v>
      </c>
      <c r="C201" s="10">
        <f t="shared" si="24"/>
        <v>4.5</v>
      </c>
      <c r="D201" s="9">
        <f>IF('[1]3, 4 , 5 PERHITUNGAN'!$K$1="semarang",F201*3,F201)</f>
        <v>6</v>
      </c>
      <c r="E201" s="9">
        <f t="shared" si="25"/>
        <v>27</v>
      </c>
      <c r="F201" s="4">
        <v>2</v>
      </c>
    </row>
    <row r="202" spans="1:6" ht="24.75" customHeight="1" x14ac:dyDescent="0.3">
      <c r="A202" s="13" t="s">
        <v>12</v>
      </c>
      <c r="B202" s="22"/>
      <c r="C202" s="22"/>
      <c r="D202" s="23"/>
      <c r="E202" s="16">
        <f>SUM(E165:E201)</f>
        <v>2116.5</v>
      </c>
      <c r="F202" s="29"/>
    </row>
    <row r="203" spans="1:6" ht="24.75" customHeight="1" x14ac:dyDescent="0.3">
      <c r="A203" s="4"/>
      <c r="B203" s="17"/>
      <c r="C203" s="18"/>
      <c r="D203" s="17"/>
      <c r="E203" s="17"/>
      <c r="F203" s="4"/>
    </row>
    <row r="204" spans="1:6" ht="24.75" customHeight="1" x14ac:dyDescent="0.3">
      <c r="A204" s="24" t="s">
        <v>130</v>
      </c>
      <c r="B204" s="21"/>
      <c r="C204" s="21"/>
      <c r="D204" s="21"/>
      <c r="E204" s="21"/>
      <c r="F204" s="4"/>
    </row>
    <row r="205" spans="1:6" ht="24.75" customHeight="1" x14ac:dyDescent="0.3">
      <c r="A205" s="8" t="s">
        <v>1</v>
      </c>
      <c r="B205" s="9" t="s">
        <v>2</v>
      </c>
      <c r="C205" s="10" t="s">
        <v>3</v>
      </c>
      <c r="D205" s="9" t="s">
        <v>4</v>
      </c>
      <c r="E205" s="9" t="s">
        <v>5</v>
      </c>
      <c r="F205" s="4"/>
    </row>
    <row r="206" spans="1:6" ht="24.75" customHeight="1" x14ac:dyDescent="0.3">
      <c r="A206" s="8" t="s">
        <v>131</v>
      </c>
      <c r="B206" s="9">
        <v>37.5</v>
      </c>
      <c r="C206" s="10">
        <f t="shared" ref="C206:C210" si="26">B206/60</f>
        <v>0.625</v>
      </c>
      <c r="D206" s="9">
        <v>365</v>
      </c>
      <c r="E206" s="12">
        <f t="shared" ref="E206:E210" si="27">D206*C206</f>
        <v>228.125</v>
      </c>
      <c r="F206" s="4"/>
    </row>
    <row r="207" spans="1:6" ht="24.75" customHeight="1" x14ac:dyDescent="0.3">
      <c r="A207" s="8" t="s">
        <v>132</v>
      </c>
      <c r="B207" s="9">
        <v>22.5</v>
      </c>
      <c r="C207" s="10">
        <f t="shared" si="26"/>
        <v>0.375</v>
      </c>
      <c r="D207" s="9">
        <v>8</v>
      </c>
      <c r="E207" s="12">
        <f t="shared" si="27"/>
        <v>3</v>
      </c>
      <c r="F207" s="4"/>
    </row>
    <row r="208" spans="1:6" ht="24.75" customHeight="1" x14ac:dyDescent="0.3">
      <c r="A208" s="8" t="s">
        <v>133</v>
      </c>
      <c r="B208" s="9">
        <v>60</v>
      </c>
      <c r="C208" s="10">
        <f t="shared" si="26"/>
        <v>1</v>
      </c>
      <c r="D208" s="9">
        <v>8</v>
      </c>
      <c r="E208" s="12">
        <f t="shared" si="27"/>
        <v>8</v>
      </c>
      <c r="F208" s="4"/>
    </row>
    <row r="209" spans="1:6" ht="24.75" customHeight="1" x14ac:dyDescent="0.3">
      <c r="A209" s="8" t="s">
        <v>134</v>
      </c>
      <c r="B209" s="9">
        <v>90</v>
      </c>
      <c r="C209" s="10">
        <f t="shared" si="26"/>
        <v>1.5</v>
      </c>
      <c r="D209" s="9">
        <v>4</v>
      </c>
      <c r="E209" s="12">
        <f t="shared" si="27"/>
        <v>6</v>
      </c>
      <c r="F209" s="4"/>
    </row>
    <row r="210" spans="1:6" ht="24.75" customHeight="1" x14ac:dyDescent="0.3">
      <c r="A210" s="8" t="s">
        <v>135</v>
      </c>
      <c r="B210" s="9">
        <v>135</v>
      </c>
      <c r="C210" s="10">
        <f t="shared" si="26"/>
        <v>2.25</v>
      </c>
      <c r="D210" s="9">
        <v>4</v>
      </c>
      <c r="E210" s="12">
        <f t="shared" si="27"/>
        <v>9</v>
      </c>
      <c r="F210" s="4"/>
    </row>
    <row r="211" spans="1:6" ht="24.75" customHeight="1" x14ac:dyDescent="0.3">
      <c r="A211" s="13" t="s">
        <v>12</v>
      </c>
      <c r="B211" s="22"/>
      <c r="C211" s="22"/>
      <c r="D211" s="23"/>
      <c r="E211" s="12">
        <f>SUM(E206:E210)</f>
        <v>254.125</v>
      </c>
      <c r="F211" s="4"/>
    </row>
    <row r="212" spans="1:6" ht="24.75" customHeight="1" x14ac:dyDescent="0.3">
      <c r="A212" s="4"/>
      <c r="B212" s="17"/>
      <c r="C212" s="18"/>
      <c r="D212" s="17"/>
      <c r="E212" s="17"/>
      <c r="F212" s="4"/>
    </row>
    <row r="213" spans="1:6" ht="24.75" customHeight="1" x14ac:dyDescent="0.3">
      <c r="A213" s="5" t="s">
        <v>136</v>
      </c>
      <c r="B213" s="21"/>
      <c r="C213" s="21"/>
      <c r="D213" s="21"/>
      <c r="E213" s="21"/>
      <c r="F213" s="4"/>
    </row>
    <row r="214" spans="1:6" ht="24.75" customHeight="1" x14ac:dyDescent="0.3">
      <c r="A214" s="8" t="s">
        <v>1</v>
      </c>
      <c r="B214" s="9" t="s">
        <v>2</v>
      </c>
      <c r="C214" s="10" t="s">
        <v>3</v>
      </c>
      <c r="D214" s="9" t="s">
        <v>4</v>
      </c>
      <c r="E214" s="9" t="s">
        <v>5</v>
      </c>
      <c r="F214" s="4"/>
    </row>
    <row r="215" spans="1:6" ht="24.75" customHeight="1" x14ac:dyDescent="0.3">
      <c r="A215" s="8" t="s">
        <v>137</v>
      </c>
      <c r="B215" s="9">
        <v>67.5</v>
      </c>
      <c r="C215" s="10">
        <f t="shared" ref="C215:C218" si="28">B215/60</f>
        <v>1.125</v>
      </c>
      <c r="D215" s="9">
        <v>365</v>
      </c>
      <c r="E215" s="12">
        <f t="shared" ref="E215:E218" si="29">D215*C215</f>
        <v>410.625</v>
      </c>
      <c r="F215" s="4"/>
    </row>
    <row r="216" spans="1:6" ht="24.75" customHeight="1" x14ac:dyDescent="0.3">
      <c r="A216" s="8" t="s">
        <v>138</v>
      </c>
      <c r="B216" s="9">
        <v>360</v>
      </c>
      <c r="C216" s="10">
        <f t="shared" si="28"/>
        <v>6</v>
      </c>
      <c r="D216" s="9">
        <v>8</v>
      </c>
      <c r="E216" s="12">
        <f t="shared" si="29"/>
        <v>48</v>
      </c>
      <c r="F216" s="4"/>
    </row>
    <row r="217" spans="1:6" ht="24.75" customHeight="1" x14ac:dyDescent="0.3">
      <c r="A217" s="8" t="s">
        <v>139</v>
      </c>
      <c r="B217" s="9">
        <v>180</v>
      </c>
      <c r="C217" s="10">
        <f t="shared" si="28"/>
        <v>3</v>
      </c>
      <c r="D217" s="9">
        <v>8</v>
      </c>
      <c r="E217" s="12">
        <f t="shared" si="29"/>
        <v>24</v>
      </c>
      <c r="F217" s="4"/>
    </row>
    <row r="218" spans="1:6" ht="24.75" customHeight="1" x14ac:dyDescent="0.3">
      <c r="A218" s="11" t="s">
        <v>11</v>
      </c>
      <c r="B218" s="9">
        <v>180</v>
      </c>
      <c r="C218" s="10">
        <f t="shared" si="28"/>
        <v>3</v>
      </c>
      <c r="D218" s="9">
        <v>6</v>
      </c>
      <c r="E218" s="12">
        <f t="shared" si="29"/>
        <v>18</v>
      </c>
      <c r="F218" s="4"/>
    </row>
    <row r="219" spans="1:6" ht="24.75" customHeight="1" x14ac:dyDescent="0.3">
      <c r="A219" s="13" t="s">
        <v>12</v>
      </c>
      <c r="B219" s="22"/>
      <c r="C219" s="22"/>
      <c r="D219" s="23"/>
      <c r="E219" s="20">
        <f>SUM(E215:E218)</f>
        <v>500.625</v>
      </c>
      <c r="F219" s="4"/>
    </row>
    <row r="220" spans="1:6" ht="24.75" customHeight="1" x14ac:dyDescent="0.3">
      <c r="A220" s="4"/>
      <c r="B220" s="17"/>
      <c r="C220" s="18"/>
      <c r="D220" s="17"/>
      <c r="E220" s="17"/>
      <c r="F220" s="4"/>
    </row>
    <row r="221" spans="1:6" ht="24.75" customHeight="1" x14ac:dyDescent="0.3">
      <c r="A221" s="24" t="s">
        <v>140</v>
      </c>
      <c r="B221" s="21"/>
      <c r="C221" s="21"/>
      <c r="D221" s="21"/>
      <c r="E221" s="21"/>
      <c r="F221" s="4"/>
    </row>
    <row r="222" spans="1:6" ht="24.75" customHeight="1" x14ac:dyDescent="0.3">
      <c r="A222" s="8" t="s">
        <v>1</v>
      </c>
      <c r="B222" s="9" t="s">
        <v>2</v>
      </c>
      <c r="C222" s="10" t="s">
        <v>3</v>
      </c>
      <c r="D222" s="9" t="s">
        <v>4</v>
      </c>
      <c r="E222" s="9" t="s">
        <v>5</v>
      </c>
      <c r="F222" s="4"/>
    </row>
    <row r="223" spans="1:6" ht="24.75" customHeight="1" x14ac:dyDescent="0.3">
      <c r="A223" s="8" t="s">
        <v>141</v>
      </c>
      <c r="B223" s="9">
        <v>45</v>
      </c>
      <c r="C223" s="10">
        <f t="shared" ref="C223:C227" si="30">B223/60</f>
        <v>0.75</v>
      </c>
      <c r="D223" s="9">
        <v>8</v>
      </c>
      <c r="E223" s="12">
        <f t="shared" ref="E223:E227" si="31">D223*C223</f>
        <v>6</v>
      </c>
      <c r="F223" s="4"/>
    </row>
    <row r="224" spans="1:6" ht="24.75" customHeight="1" x14ac:dyDescent="0.3">
      <c r="A224" s="8" t="s">
        <v>142</v>
      </c>
      <c r="B224" s="9">
        <v>67.5</v>
      </c>
      <c r="C224" s="10">
        <f t="shared" si="30"/>
        <v>1.125</v>
      </c>
      <c r="D224" s="9">
        <v>8</v>
      </c>
      <c r="E224" s="12">
        <f t="shared" si="31"/>
        <v>9</v>
      </c>
      <c r="F224" s="4"/>
    </row>
    <row r="225" spans="1:6" ht="24.75" customHeight="1" x14ac:dyDescent="0.3">
      <c r="A225" s="8" t="s">
        <v>143</v>
      </c>
      <c r="B225" s="9">
        <v>135</v>
      </c>
      <c r="C225" s="10">
        <f t="shared" si="30"/>
        <v>2.25</v>
      </c>
      <c r="D225" s="9">
        <v>4</v>
      </c>
      <c r="E225" s="12">
        <f t="shared" si="31"/>
        <v>9</v>
      </c>
      <c r="F225" s="4"/>
    </row>
    <row r="226" spans="1:6" ht="24.75" customHeight="1" x14ac:dyDescent="0.3">
      <c r="A226" s="8" t="s">
        <v>144</v>
      </c>
      <c r="B226" s="9">
        <v>135</v>
      </c>
      <c r="C226" s="10">
        <f t="shared" si="30"/>
        <v>2.25</v>
      </c>
      <c r="D226" s="9">
        <v>4</v>
      </c>
      <c r="E226" s="12">
        <f t="shared" si="31"/>
        <v>9</v>
      </c>
      <c r="F226" s="4"/>
    </row>
    <row r="227" spans="1:6" ht="24.75" customHeight="1" x14ac:dyDescent="0.3">
      <c r="A227" s="8" t="s">
        <v>145</v>
      </c>
      <c r="B227" s="9">
        <v>30</v>
      </c>
      <c r="C227" s="10">
        <f t="shared" si="30"/>
        <v>0.5</v>
      </c>
      <c r="D227" s="9">
        <v>365</v>
      </c>
      <c r="E227" s="12">
        <f t="shared" si="31"/>
        <v>182.5</v>
      </c>
      <c r="F227" s="4"/>
    </row>
    <row r="228" spans="1:6" ht="24.75" customHeight="1" x14ac:dyDescent="0.3">
      <c r="A228" s="13" t="s">
        <v>12</v>
      </c>
      <c r="B228" s="22"/>
      <c r="C228" s="22"/>
      <c r="D228" s="23"/>
      <c r="E228" s="20">
        <f>SUM(E223:E227)</f>
        <v>215.5</v>
      </c>
      <c r="F228" s="4"/>
    </row>
    <row r="229" spans="1:6" ht="24.75" customHeight="1" x14ac:dyDescent="0.3">
      <c r="A229" s="4"/>
      <c r="B229" s="17"/>
      <c r="C229" s="18"/>
      <c r="D229" s="17"/>
      <c r="E229" s="17"/>
      <c r="F229" s="4"/>
    </row>
    <row r="230" spans="1:6" ht="24.75" customHeight="1" x14ac:dyDescent="0.3">
      <c r="A230" s="30" t="s">
        <v>146</v>
      </c>
      <c r="B230" s="21"/>
      <c r="C230" s="21"/>
      <c r="D230" s="21"/>
      <c r="E230" s="21"/>
      <c r="F230" s="4"/>
    </row>
    <row r="231" spans="1:6" ht="24.75" customHeight="1" x14ac:dyDescent="0.3">
      <c r="A231" s="8" t="s">
        <v>1</v>
      </c>
      <c r="B231" s="9" t="s">
        <v>2</v>
      </c>
      <c r="C231" s="10" t="s">
        <v>3</v>
      </c>
      <c r="D231" s="9" t="s">
        <v>4</v>
      </c>
      <c r="E231" s="9" t="s">
        <v>5</v>
      </c>
      <c r="F231" s="4"/>
    </row>
    <row r="232" spans="1:6" ht="24.75" customHeight="1" x14ac:dyDescent="0.3">
      <c r="A232" s="8" t="s">
        <v>147</v>
      </c>
      <c r="B232" s="9">
        <v>60</v>
      </c>
      <c r="C232" s="10">
        <f t="shared" ref="C232:C239" si="32">B232/60</f>
        <v>1</v>
      </c>
      <c r="D232" s="9">
        <v>365</v>
      </c>
      <c r="E232" s="12">
        <f t="shared" ref="E232:E239" si="33">D232*C232</f>
        <v>365</v>
      </c>
      <c r="F232" s="4"/>
    </row>
    <row r="233" spans="1:6" ht="24.75" customHeight="1" x14ac:dyDescent="0.3">
      <c r="A233" s="8" t="s">
        <v>148</v>
      </c>
      <c r="B233" s="9">
        <v>180</v>
      </c>
      <c r="C233" s="10">
        <f t="shared" si="32"/>
        <v>3</v>
      </c>
      <c r="D233" s="9">
        <v>5</v>
      </c>
      <c r="E233" s="12">
        <f t="shared" si="33"/>
        <v>15</v>
      </c>
      <c r="F233" s="4"/>
    </row>
    <row r="234" spans="1:6" ht="24.75" customHeight="1" x14ac:dyDescent="0.3">
      <c r="A234" s="8" t="s">
        <v>149</v>
      </c>
      <c r="B234" s="9">
        <v>180</v>
      </c>
      <c r="C234" s="10">
        <f t="shared" si="32"/>
        <v>3</v>
      </c>
      <c r="D234" s="9">
        <v>2</v>
      </c>
      <c r="E234" s="12">
        <f t="shared" si="33"/>
        <v>6</v>
      </c>
      <c r="F234" s="4"/>
    </row>
    <row r="235" spans="1:6" ht="24.75" customHeight="1" x14ac:dyDescent="0.3">
      <c r="A235" s="8" t="s">
        <v>150</v>
      </c>
      <c r="B235" s="9">
        <v>360</v>
      </c>
      <c r="C235" s="10">
        <f t="shared" si="32"/>
        <v>6</v>
      </c>
      <c r="D235" s="9"/>
      <c r="E235" s="12">
        <f t="shared" si="33"/>
        <v>0</v>
      </c>
      <c r="F235" s="4"/>
    </row>
    <row r="236" spans="1:6" ht="24.75" customHeight="1" x14ac:dyDescent="0.3">
      <c r="A236" s="8" t="s">
        <v>151</v>
      </c>
      <c r="B236" s="9">
        <v>405</v>
      </c>
      <c r="C236" s="10">
        <f t="shared" si="32"/>
        <v>6.75</v>
      </c>
      <c r="D236" s="9">
        <v>2</v>
      </c>
      <c r="E236" s="12">
        <f t="shared" si="33"/>
        <v>13.5</v>
      </c>
      <c r="F236" s="4"/>
    </row>
    <row r="237" spans="1:6" ht="24.75" customHeight="1" x14ac:dyDescent="0.3">
      <c r="A237" s="8" t="s">
        <v>152</v>
      </c>
      <c r="B237" s="9">
        <v>495</v>
      </c>
      <c r="C237" s="10">
        <f t="shared" si="32"/>
        <v>8.25</v>
      </c>
      <c r="D237" s="9">
        <v>5</v>
      </c>
      <c r="E237" s="12">
        <f t="shared" si="33"/>
        <v>41.25</v>
      </c>
      <c r="F237" s="4"/>
    </row>
    <row r="238" spans="1:6" ht="24.75" customHeight="1" x14ac:dyDescent="0.3">
      <c r="A238" s="8" t="s">
        <v>153</v>
      </c>
      <c r="B238" s="9">
        <v>180</v>
      </c>
      <c r="C238" s="10">
        <f t="shared" si="32"/>
        <v>3</v>
      </c>
      <c r="D238" s="9">
        <v>5</v>
      </c>
      <c r="E238" s="12">
        <f t="shared" si="33"/>
        <v>15</v>
      </c>
      <c r="F238" s="4"/>
    </row>
    <row r="239" spans="1:6" ht="24.75" customHeight="1" x14ac:dyDescent="0.3">
      <c r="A239" s="11" t="s">
        <v>11</v>
      </c>
      <c r="B239" s="9">
        <v>240</v>
      </c>
      <c r="C239" s="10">
        <f t="shared" si="32"/>
        <v>4</v>
      </c>
      <c r="D239" s="9">
        <v>8</v>
      </c>
      <c r="E239" s="9">
        <f t="shared" si="33"/>
        <v>32</v>
      </c>
      <c r="F239" s="4"/>
    </row>
    <row r="240" spans="1:6" ht="24.75" customHeight="1" x14ac:dyDescent="0.3">
      <c r="A240" s="13" t="s">
        <v>12</v>
      </c>
      <c r="B240" s="22"/>
      <c r="C240" s="22"/>
      <c r="D240" s="23"/>
      <c r="E240" s="16">
        <f>SUM(E232:E239)</f>
        <v>487.75</v>
      </c>
      <c r="F240" s="4"/>
    </row>
    <row r="241" spans="1:6" ht="24.75" customHeight="1" x14ac:dyDescent="0.3">
      <c r="A241" s="4"/>
      <c r="B241" s="17"/>
      <c r="C241" s="18"/>
      <c r="D241" s="17"/>
      <c r="E241" s="17"/>
      <c r="F241" s="4"/>
    </row>
    <row r="242" spans="1:6" ht="24.75" customHeight="1" x14ac:dyDescent="0.3">
      <c r="A242" s="5" t="s">
        <v>154</v>
      </c>
      <c r="B242" s="21"/>
      <c r="C242" s="21"/>
      <c r="D242" s="21"/>
      <c r="E242" s="21"/>
      <c r="F242" s="4"/>
    </row>
    <row r="243" spans="1:6" ht="24.75" customHeight="1" x14ac:dyDescent="0.3">
      <c r="A243" s="8" t="s">
        <v>1</v>
      </c>
      <c r="B243" s="9" t="s">
        <v>2</v>
      </c>
      <c r="C243" s="10" t="s">
        <v>3</v>
      </c>
      <c r="D243" s="9" t="s">
        <v>4</v>
      </c>
      <c r="E243" s="9" t="s">
        <v>5</v>
      </c>
      <c r="F243" s="4"/>
    </row>
    <row r="244" spans="1:6" ht="24.75" customHeight="1" x14ac:dyDescent="0.3">
      <c r="A244" s="8" t="s">
        <v>155</v>
      </c>
      <c r="B244" s="9">
        <v>75</v>
      </c>
      <c r="C244" s="10">
        <f t="shared" ref="C244:C263" si="34">B244/60</f>
        <v>1.25</v>
      </c>
      <c r="D244" s="9">
        <v>365</v>
      </c>
      <c r="E244" s="12">
        <f t="shared" ref="E244:E263" si="35">D244*C244</f>
        <v>456.25</v>
      </c>
      <c r="F244" s="4"/>
    </row>
    <row r="245" spans="1:6" ht="24.75" customHeight="1" x14ac:dyDescent="0.3">
      <c r="A245" s="8" t="s">
        <v>156</v>
      </c>
      <c r="B245" s="9">
        <v>135</v>
      </c>
      <c r="C245" s="10">
        <f t="shared" si="34"/>
        <v>2.25</v>
      </c>
      <c r="D245" s="9">
        <v>48</v>
      </c>
      <c r="E245" s="12">
        <f t="shared" si="35"/>
        <v>108</v>
      </c>
      <c r="F245" s="4"/>
    </row>
    <row r="246" spans="1:6" ht="24.75" customHeight="1" x14ac:dyDescent="0.3">
      <c r="A246" s="8" t="s">
        <v>157</v>
      </c>
      <c r="B246" s="9">
        <v>315</v>
      </c>
      <c r="C246" s="10">
        <f t="shared" si="34"/>
        <v>5.25</v>
      </c>
      <c r="D246" s="9">
        <v>4</v>
      </c>
      <c r="E246" s="12">
        <f t="shared" si="35"/>
        <v>21</v>
      </c>
      <c r="F246" s="4"/>
    </row>
    <row r="247" spans="1:6" ht="24.75" customHeight="1" x14ac:dyDescent="0.3">
      <c r="A247" s="8" t="s">
        <v>158</v>
      </c>
      <c r="B247" s="9">
        <v>315</v>
      </c>
      <c r="C247" s="10">
        <f t="shared" si="34"/>
        <v>5.25</v>
      </c>
      <c r="D247" s="9">
        <v>4</v>
      </c>
      <c r="E247" s="12">
        <f t="shared" si="35"/>
        <v>21</v>
      </c>
      <c r="F247" s="4"/>
    </row>
    <row r="248" spans="1:6" ht="24.75" customHeight="1" x14ac:dyDescent="0.3">
      <c r="A248" s="8" t="s">
        <v>159</v>
      </c>
      <c r="B248" s="9">
        <v>720</v>
      </c>
      <c r="C248" s="10">
        <f t="shared" si="34"/>
        <v>12</v>
      </c>
      <c r="D248" s="9">
        <v>4</v>
      </c>
      <c r="E248" s="12">
        <f t="shared" si="35"/>
        <v>48</v>
      </c>
      <c r="F248" s="4"/>
    </row>
    <row r="249" spans="1:6" ht="24.75" customHeight="1" x14ac:dyDescent="0.3">
      <c r="A249" s="8" t="s">
        <v>160</v>
      </c>
      <c r="B249" s="9">
        <v>810</v>
      </c>
      <c r="C249" s="10">
        <f t="shared" si="34"/>
        <v>13.5</v>
      </c>
      <c r="D249" s="9">
        <v>3</v>
      </c>
      <c r="E249" s="12">
        <f t="shared" si="35"/>
        <v>40.5</v>
      </c>
      <c r="F249" s="4"/>
    </row>
    <row r="250" spans="1:6" ht="24.75" customHeight="1" x14ac:dyDescent="0.3">
      <c r="A250" s="8" t="s">
        <v>161</v>
      </c>
      <c r="B250" s="9">
        <v>855</v>
      </c>
      <c r="C250" s="10">
        <f t="shared" si="34"/>
        <v>14.25</v>
      </c>
      <c r="D250" s="9">
        <v>3</v>
      </c>
      <c r="E250" s="12">
        <f t="shared" si="35"/>
        <v>42.75</v>
      </c>
      <c r="F250" s="4"/>
    </row>
    <row r="251" spans="1:6" ht="24.75" customHeight="1" x14ac:dyDescent="0.3">
      <c r="A251" s="8" t="s">
        <v>162</v>
      </c>
      <c r="B251" s="9">
        <v>810</v>
      </c>
      <c r="C251" s="10">
        <f t="shared" si="34"/>
        <v>13.5</v>
      </c>
      <c r="D251" s="9">
        <v>3</v>
      </c>
      <c r="E251" s="12">
        <f t="shared" si="35"/>
        <v>40.5</v>
      </c>
      <c r="F251" s="4"/>
    </row>
    <row r="252" spans="1:6" ht="24.75" customHeight="1" x14ac:dyDescent="0.3">
      <c r="A252" s="8" t="s">
        <v>163</v>
      </c>
      <c r="B252" s="9">
        <v>900</v>
      </c>
      <c r="C252" s="10">
        <f t="shared" si="34"/>
        <v>15</v>
      </c>
      <c r="D252" s="9">
        <v>3</v>
      </c>
      <c r="E252" s="12">
        <f t="shared" si="35"/>
        <v>45</v>
      </c>
      <c r="F252" s="4"/>
    </row>
    <row r="253" spans="1:6" ht="24.75" customHeight="1" x14ac:dyDescent="0.3">
      <c r="A253" s="11" t="s">
        <v>164</v>
      </c>
      <c r="B253" s="9">
        <v>360</v>
      </c>
      <c r="C253" s="10">
        <f t="shared" si="34"/>
        <v>6</v>
      </c>
      <c r="D253" s="9">
        <v>3</v>
      </c>
      <c r="E253" s="12">
        <f t="shared" si="35"/>
        <v>18</v>
      </c>
      <c r="F253" s="4"/>
    </row>
    <row r="254" spans="1:6" ht="24.75" customHeight="1" x14ac:dyDescent="0.3">
      <c r="A254" s="8" t="s">
        <v>165</v>
      </c>
      <c r="B254" s="9">
        <v>180</v>
      </c>
      <c r="C254" s="10">
        <f t="shared" si="34"/>
        <v>3</v>
      </c>
      <c r="D254" s="9">
        <v>3</v>
      </c>
      <c r="E254" s="12">
        <f t="shared" si="35"/>
        <v>9</v>
      </c>
      <c r="F254" s="4"/>
    </row>
    <row r="255" spans="1:6" ht="24.75" customHeight="1" x14ac:dyDescent="0.3">
      <c r="A255" s="8" t="s">
        <v>166</v>
      </c>
      <c r="B255" s="9">
        <v>180</v>
      </c>
      <c r="C255" s="10">
        <f t="shared" si="34"/>
        <v>3</v>
      </c>
      <c r="D255" s="9">
        <v>3</v>
      </c>
      <c r="E255" s="12">
        <f t="shared" si="35"/>
        <v>9</v>
      </c>
      <c r="F255" s="4"/>
    </row>
    <row r="256" spans="1:6" ht="24.75" customHeight="1" x14ac:dyDescent="0.3">
      <c r="A256" s="8" t="s">
        <v>167</v>
      </c>
      <c r="B256" s="9">
        <v>180</v>
      </c>
      <c r="C256" s="10">
        <f t="shared" si="34"/>
        <v>3</v>
      </c>
      <c r="D256" s="9">
        <v>3</v>
      </c>
      <c r="E256" s="12">
        <f t="shared" si="35"/>
        <v>9</v>
      </c>
      <c r="F256" s="4"/>
    </row>
    <row r="257" spans="1:6" ht="24.75" customHeight="1" x14ac:dyDescent="0.3">
      <c r="A257" s="8" t="s">
        <v>168</v>
      </c>
      <c r="B257" s="9">
        <v>360</v>
      </c>
      <c r="C257" s="10">
        <f t="shared" si="34"/>
        <v>6</v>
      </c>
      <c r="D257" s="9">
        <v>3</v>
      </c>
      <c r="E257" s="12">
        <f t="shared" si="35"/>
        <v>18</v>
      </c>
      <c r="F257" s="4"/>
    </row>
    <row r="258" spans="1:6" ht="24.75" customHeight="1" x14ac:dyDescent="0.3">
      <c r="A258" s="8" t="s">
        <v>169</v>
      </c>
      <c r="B258" s="9">
        <v>180</v>
      </c>
      <c r="C258" s="10">
        <f t="shared" si="34"/>
        <v>3</v>
      </c>
      <c r="D258" s="9">
        <v>3</v>
      </c>
      <c r="E258" s="12">
        <f t="shared" si="35"/>
        <v>9</v>
      </c>
      <c r="F258" s="4"/>
    </row>
    <row r="259" spans="1:6" ht="15.75" customHeight="1" x14ac:dyDescent="0.3">
      <c r="A259" s="31" t="s">
        <v>170</v>
      </c>
      <c r="B259" s="9">
        <v>720</v>
      </c>
      <c r="C259" s="10">
        <f t="shared" si="34"/>
        <v>12</v>
      </c>
      <c r="D259" s="9">
        <v>3</v>
      </c>
      <c r="E259" s="12">
        <f t="shared" si="35"/>
        <v>36</v>
      </c>
      <c r="F259" s="4"/>
    </row>
    <row r="260" spans="1:6" ht="24.75" customHeight="1" x14ac:dyDescent="0.3">
      <c r="A260" s="8" t="s">
        <v>171</v>
      </c>
      <c r="B260" s="9">
        <v>180</v>
      </c>
      <c r="C260" s="10">
        <f t="shared" si="34"/>
        <v>3</v>
      </c>
      <c r="D260" s="9">
        <v>3</v>
      </c>
      <c r="E260" s="12">
        <f t="shared" si="35"/>
        <v>9</v>
      </c>
      <c r="F260" s="4"/>
    </row>
    <row r="261" spans="1:6" ht="24.75" customHeight="1" x14ac:dyDescent="0.3">
      <c r="A261" s="8" t="s">
        <v>172</v>
      </c>
      <c r="B261" s="9">
        <v>180</v>
      </c>
      <c r="C261" s="10">
        <f t="shared" si="34"/>
        <v>3</v>
      </c>
      <c r="D261" s="9">
        <v>3</v>
      </c>
      <c r="E261" s="12">
        <f t="shared" si="35"/>
        <v>9</v>
      </c>
      <c r="F261" s="4"/>
    </row>
    <row r="262" spans="1:6" ht="24.75" customHeight="1" x14ac:dyDescent="0.3">
      <c r="A262" s="8" t="s">
        <v>173</v>
      </c>
      <c r="B262" s="9">
        <v>180</v>
      </c>
      <c r="C262" s="10">
        <f t="shared" si="34"/>
        <v>3</v>
      </c>
      <c r="D262" s="9">
        <v>3</v>
      </c>
      <c r="E262" s="12">
        <f t="shared" si="35"/>
        <v>9</v>
      </c>
      <c r="F262" s="4"/>
    </row>
    <row r="263" spans="1:6" ht="24.75" customHeight="1" x14ac:dyDescent="0.3">
      <c r="A263" s="11" t="s">
        <v>11</v>
      </c>
      <c r="B263" s="9">
        <v>360</v>
      </c>
      <c r="C263" s="10">
        <f t="shared" si="34"/>
        <v>6</v>
      </c>
      <c r="D263" s="9">
        <v>8</v>
      </c>
      <c r="E263" s="9">
        <f t="shared" si="35"/>
        <v>48</v>
      </c>
      <c r="F263" s="4"/>
    </row>
    <row r="264" spans="1:6" ht="24.75" customHeight="1" x14ac:dyDescent="0.3">
      <c r="A264" s="13" t="s">
        <v>12</v>
      </c>
      <c r="B264" s="22"/>
      <c r="C264" s="22"/>
      <c r="D264" s="23"/>
      <c r="E264" s="20">
        <f>SUM(E244:E263)</f>
        <v>1006</v>
      </c>
      <c r="F264" s="4"/>
    </row>
    <row r="265" spans="1:6" ht="24.75" customHeight="1" x14ac:dyDescent="0.3">
      <c r="A265" s="4"/>
      <c r="B265" s="17"/>
      <c r="C265" s="18"/>
      <c r="D265" s="17"/>
      <c r="E265" s="17"/>
      <c r="F265" s="4"/>
    </row>
    <row r="266" spans="1:6" ht="24.75" customHeight="1" x14ac:dyDescent="0.3">
      <c r="A266" s="4"/>
      <c r="B266" s="17"/>
      <c r="C266" s="18"/>
      <c r="D266" s="17"/>
      <c r="E266" s="17"/>
      <c r="F266" s="4"/>
    </row>
    <row r="267" spans="1:6" ht="24.75" customHeight="1" x14ac:dyDescent="0.3">
      <c r="A267" s="4"/>
      <c r="B267" s="17"/>
      <c r="C267" s="18"/>
      <c r="D267" s="17"/>
      <c r="E267" s="17"/>
      <c r="F267" s="4"/>
    </row>
    <row r="268" spans="1:6" ht="24.75" customHeight="1" x14ac:dyDescent="0.3">
      <c r="A268" s="24" t="s">
        <v>174</v>
      </c>
      <c r="B268" s="21"/>
      <c r="C268" s="21"/>
      <c r="D268" s="21"/>
      <c r="E268" s="21"/>
      <c r="F268" s="4"/>
    </row>
    <row r="269" spans="1:6" ht="24.75" customHeight="1" x14ac:dyDescent="0.3">
      <c r="A269" s="8" t="s">
        <v>1</v>
      </c>
      <c r="B269" s="9" t="s">
        <v>2</v>
      </c>
      <c r="C269" s="10" t="s">
        <v>3</v>
      </c>
      <c r="D269" s="9" t="s">
        <v>4</v>
      </c>
      <c r="E269" s="9" t="s">
        <v>5</v>
      </c>
      <c r="F269" s="4"/>
    </row>
    <row r="270" spans="1:6" ht="24.75" customHeight="1" x14ac:dyDescent="0.3">
      <c r="A270" s="8" t="s">
        <v>175</v>
      </c>
      <c r="B270" s="9">
        <v>90</v>
      </c>
      <c r="C270" s="10">
        <f t="shared" ref="C270:C280" si="36">B270/60</f>
        <v>1.5</v>
      </c>
      <c r="D270" s="9">
        <v>365</v>
      </c>
      <c r="E270" s="12">
        <f t="shared" ref="E270:E280" si="37">D270*C270</f>
        <v>547.5</v>
      </c>
      <c r="F270" s="4"/>
    </row>
    <row r="271" spans="1:6" ht="24.75" customHeight="1" x14ac:dyDescent="0.3">
      <c r="A271" s="8" t="s">
        <v>176</v>
      </c>
      <c r="B271" s="9">
        <v>195</v>
      </c>
      <c r="C271" s="10">
        <f t="shared" si="36"/>
        <v>3.25</v>
      </c>
      <c r="D271" s="9">
        <v>12</v>
      </c>
      <c r="E271" s="12">
        <f t="shared" si="37"/>
        <v>39</v>
      </c>
      <c r="F271" s="4"/>
    </row>
    <row r="272" spans="1:6" ht="24.75" customHeight="1" x14ac:dyDescent="0.3">
      <c r="A272" s="8" t="s">
        <v>177</v>
      </c>
      <c r="B272" s="9">
        <v>90</v>
      </c>
      <c r="C272" s="10">
        <f t="shared" si="36"/>
        <v>1.5</v>
      </c>
      <c r="D272" s="9">
        <v>4</v>
      </c>
      <c r="E272" s="12">
        <f t="shared" si="37"/>
        <v>6</v>
      </c>
      <c r="F272" s="4"/>
    </row>
    <row r="273" spans="1:6" ht="24.75" customHeight="1" x14ac:dyDescent="0.3">
      <c r="A273" s="8" t="s">
        <v>178</v>
      </c>
      <c r="B273" s="9">
        <v>90</v>
      </c>
      <c r="C273" s="10">
        <f t="shared" si="36"/>
        <v>1.5</v>
      </c>
      <c r="D273" s="9">
        <v>4</v>
      </c>
      <c r="E273" s="12">
        <f t="shared" si="37"/>
        <v>6</v>
      </c>
      <c r="F273" s="4"/>
    </row>
    <row r="274" spans="1:6" ht="24.75" customHeight="1" x14ac:dyDescent="0.3">
      <c r="A274" s="8" t="s">
        <v>179</v>
      </c>
      <c r="B274" s="9">
        <v>90</v>
      </c>
      <c r="C274" s="10">
        <f t="shared" si="36"/>
        <v>1.5</v>
      </c>
      <c r="D274" s="9">
        <v>4</v>
      </c>
      <c r="E274" s="12">
        <f t="shared" si="37"/>
        <v>6</v>
      </c>
      <c r="F274" s="4"/>
    </row>
    <row r="275" spans="1:6" ht="24.75" customHeight="1" x14ac:dyDescent="0.3">
      <c r="A275" s="8" t="s">
        <v>180</v>
      </c>
      <c r="B275" s="9">
        <v>180</v>
      </c>
      <c r="C275" s="10">
        <f t="shared" si="36"/>
        <v>3</v>
      </c>
      <c r="D275" s="9">
        <v>12</v>
      </c>
      <c r="E275" s="12">
        <f t="shared" si="37"/>
        <v>36</v>
      </c>
      <c r="F275" s="4"/>
    </row>
    <row r="276" spans="1:6" ht="24.75" customHeight="1" x14ac:dyDescent="0.3">
      <c r="A276" s="8" t="s">
        <v>181</v>
      </c>
      <c r="B276" s="9">
        <v>180</v>
      </c>
      <c r="C276" s="10">
        <f t="shared" si="36"/>
        <v>3</v>
      </c>
      <c r="D276" s="9">
        <v>12</v>
      </c>
      <c r="E276" s="12">
        <f t="shared" si="37"/>
        <v>36</v>
      </c>
      <c r="F276" s="4"/>
    </row>
    <row r="277" spans="1:6" ht="24.75" customHeight="1" x14ac:dyDescent="0.3">
      <c r="A277" s="8" t="s">
        <v>182</v>
      </c>
      <c r="B277" s="9">
        <v>180</v>
      </c>
      <c r="C277" s="10">
        <f t="shared" si="36"/>
        <v>3</v>
      </c>
      <c r="D277" s="9">
        <v>1</v>
      </c>
      <c r="E277" s="12">
        <f t="shared" si="37"/>
        <v>3</v>
      </c>
      <c r="F277" s="4"/>
    </row>
    <row r="278" spans="1:6" ht="24.75" customHeight="1" x14ac:dyDescent="0.3">
      <c r="A278" s="8" t="s">
        <v>183</v>
      </c>
      <c r="B278" s="9">
        <v>180</v>
      </c>
      <c r="C278" s="10">
        <f t="shared" si="36"/>
        <v>3</v>
      </c>
      <c r="D278" s="9">
        <v>1</v>
      </c>
      <c r="E278" s="12">
        <f t="shared" si="37"/>
        <v>3</v>
      </c>
      <c r="F278" s="4"/>
    </row>
    <row r="279" spans="1:6" ht="24.75" customHeight="1" x14ac:dyDescent="0.3">
      <c r="A279" s="8" t="s">
        <v>184</v>
      </c>
      <c r="B279" s="9">
        <v>180</v>
      </c>
      <c r="C279" s="10">
        <f t="shared" si="36"/>
        <v>3</v>
      </c>
      <c r="D279" s="9">
        <v>1</v>
      </c>
      <c r="E279" s="12">
        <f t="shared" si="37"/>
        <v>3</v>
      </c>
      <c r="F279" s="4"/>
    </row>
    <row r="280" spans="1:6" ht="24.75" customHeight="1" x14ac:dyDescent="0.3">
      <c r="A280" s="8" t="s">
        <v>185</v>
      </c>
      <c r="B280" s="9">
        <v>180</v>
      </c>
      <c r="C280" s="10">
        <f t="shared" si="36"/>
        <v>3</v>
      </c>
      <c r="D280" s="9">
        <v>1</v>
      </c>
      <c r="E280" s="12">
        <f t="shared" si="37"/>
        <v>3</v>
      </c>
      <c r="F280" s="4"/>
    </row>
    <row r="281" spans="1:6" ht="24.75" customHeight="1" x14ac:dyDescent="0.3">
      <c r="A281" s="13" t="s">
        <v>12</v>
      </c>
      <c r="B281" s="22"/>
      <c r="C281" s="22"/>
      <c r="D281" s="23"/>
      <c r="E281" s="20">
        <f>SUM(E270:E280)</f>
        <v>688.5</v>
      </c>
      <c r="F281" s="4"/>
    </row>
    <row r="282" spans="1:6" ht="24.75" customHeight="1" x14ac:dyDescent="0.3">
      <c r="A282" s="4"/>
      <c r="B282" s="17"/>
      <c r="C282" s="18"/>
      <c r="D282" s="17"/>
      <c r="E282" s="17"/>
      <c r="F282" s="4"/>
    </row>
    <row r="283" spans="1:6" ht="24.75" customHeight="1" x14ac:dyDescent="0.3">
      <c r="A283" s="4"/>
      <c r="B283" s="17"/>
      <c r="C283" s="18"/>
      <c r="D283" s="17"/>
      <c r="E283" s="17"/>
      <c r="F283" s="4"/>
    </row>
    <row r="284" spans="1:6" ht="24.75" customHeight="1" x14ac:dyDescent="0.3">
      <c r="A284" s="24" t="s">
        <v>186</v>
      </c>
      <c r="B284" s="21"/>
      <c r="C284" s="21"/>
      <c r="D284" s="21"/>
      <c r="E284" s="21"/>
      <c r="F284" s="4"/>
    </row>
    <row r="285" spans="1:6" ht="24.75" customHeight="1" x14ac:dyDescent="0.3">
      <c r="A285" s="8" t="s">
        <v>1</v>
      </c>
      <c r="B285" s="9" t="s">
        <v>2</v>
      </c>
      <c r="C285" s="10" t="s">
        <v>3</v>
      </c>
      <c r="D285" s="9" t="s">
        <v>4</v>
      </c>
      <c r="E285" s="9" t="s">
        <v>5</v>
      </c>
      <c r="F285" s="4"/>
    </row>
    <row r="286" spans="1:6" ht="24.75" customHeight="1" x14ac:dyDescent="0.3">
      <c r="A286" s="8" t="s">
        <v>187</v>
      </c>
      <c r="B286" s="9">
        <v>45</v>
      </c>
      <c r="C286" s="10">
        <f>B286/60</f>
        <v>0.75</v>
      </c>
      <c r="D286" s="9">
        <v>365</v>
      </c>
      <c r="E286" s="12">
        <f>D286*C286</f>
        <v>273.75</v>
      </c>
      <c r="F286" s="4"/>
    </row>
    <row r="287" spans="1:6" ht="24.75" customHeight="1" x14ac:dyDescent="0.3">
      <c r="A287" s="13" t="s">
        <v>12</v>
      </c>
      <c r="B287" s="22"/>
      <c r="C287" s="22"/>
      <c r="D287" s="23"/>
      <c r="E287" s="32">
        <f>SUM(E286)</f>
        <v>273.75</v>
      </c>
      <c r="F287" s="4"/>
    </row>
    <row r="288" spans="1:6" ht="24.75" customHeight="1" x14ac:dyDescent="0.3">
      <c r="A288" s="4"/>
      <c r="B288" s="17"/>
      <c r="C288" s="18"/>
      <c r="D288" s="17"/>
      <c r="E288" s="17"/>
      <c r="F288" s="4"/>
    </row>
    <row r="289" spans="1:6" ht="24.75" customHeight="1" x14ac:dyDescent="0.3">
      <c r="A289" s="24" t="s">
        <v>188</v>
      </c>
      <c r="B289" s="21"/>
      <c r="C289" s="21"/>
      <c r="D289" s="21"/>
      <c r="E289" s="21"/>
      <c r="F289" s="4"/>
    </row>
    <row r="290" spans="1:6" ht="24.75" customHeight="1" x14ac:dyDescent="0.3">
      <c r="A290" s="8" t="s">
        <v>1</v>
      </c>
      <c r="B290" s="9" t="s">
        <v>2</v>
      </c>
      <c r="C290" s="10" t="s">
        <v>3</v>
      </c>
      <c r="D290" s="9" t="s">
        <v>4</v>
      </c>
      <c r="E290" s="9" t="s">
        <v>5</v>
      </c>
      <c r="F290" s="4"/>
    </row>
    <row r="291" spans="1:6" ht="24.75" customHeight="1" x14ac:dyDescent="0.3">
      <c r="A291" s="8" t="s">
        <v>189</v>
      </c>
      <c r="B291" s="9">
        <v>180</v>
      </c>
      <c r="C291" s="10">
        <f t="shared" ref="C291:C296" si="38">B291/60</f>
        <v>3</v>
      </c>
      <c r="D291" s="9">
        <v>8</v>
      </c>
      <c r="E291" s="12">
        <f t="shared" ref="E291:E296" si="39">D291*C291</f>
        <v>24</v>
      </c>
      <c r="F291" s="4"/>
    </row>
    <row r="292" spans="1:6" ht="24.75" customHeight="1" x14ac:dyDescent="0.3">
      <c r="A292" s="8" t="s">
        <v>189</v>
      </c>
      <c r="B292" s="9">
        <v>180</v>
      </c>
      <c r="C292" s="10">
        <f t="shared" si="38"/>
        <v>3</v>
      </c>
      <c r="D292" s="9">
        <v>8</v>
      </c>
      <c r="E292" s="12">
        <f t="shared" si="39"/>
        <v>24</v>
      </c>
      <c r="F292" s="4"/>
    </row>
    <row r="293" spans="1:6" ht="24.75" customHeight="1" x14ac:dyDescent="0.3">
      <c r="A293" s="8" t="s">
        <v>189</v>
      </c>
      <c r="B293" s="9">
        <v>180</v>
      </c>
      <c r="C293" s="10">
        <f t="shared" si="38"/>
        <v>3</v>
      </c>
      <c r="D293" s="9">
        <v>4</v>
      </c>
      <c r="E293" s="12">
        <f t="shared" si="39"/>
        <v>12</v>
      </c>
      <c r="F293" s="4"/>
    </row>
    <row r="294" spans="1:6" ht="24.75" customHeight="1" x14ac:dyDescent="0.3">
      <c r="A294" s="8" t="s">
        <v>190</v>
      </c>
      <c r="B294" s="9">
        <v>315</v>
      </c>
      <c r="C294" s="10">
        <f t="shared" si="38"/>
        <v>5.25</v>
      </c>
      <c r="D294" s="9">
        <v>4</v>
      </c>
      <c r="E294" s="12">
        <f t="shared" si="39"/>
        <v>21</v>
      </c>
      <c r="F294" s="4"/>
    </row>
    <row r="295" spans="1:6" ht="24.75" customHeight="1" x14ac:dyDescent="0.3">
      <c r="A295" s="8" t="s">
        <v>191</v>
      </c>
      <c r="B295" s="9">
        <v>360</v>
      </c>
      <c r="C295" s="10">
        <f t="shared" si="38"/>
        <v>6</v>
      </c>
      <c r="D295" s="9">
        <v>3</v>
      </c>
      <c r="E295" s="12">
        <f t="shared" si="39"/>
        <v>18</v>
      </c>
      <c r="F295" s="4"/>
    </row>
    <row r="296" spans="1:6" ht="24.75" customHeight="1" x14ac:dyDescent="0.3">
      <c r="A296" s="8" t="s">
        <v>192</v>
      </c>
      <c r="B296" s="9">
        <v>52.5</v>
      </c>
      <c r="C296" s="10">
        <f t="shared" si="38"/>
        <v>0.875</v>
      </c>
      <c r="D296" s="9">
        <v>365</v>
      </c>
      <c r="E296" s="12">
        <f t="shared" si="39"/>
        <v>319.375</v>
      </c>
      <c r="F296" s="4"/>
    </row>
    <row r="297" spans="1:6" ht="24.75" customHeight="1" x14ac:dyDescent="0.3">
      <c r="A297" s="13" t="s">
        <v>12</v>
      </c>
      <c r="B297" s="22"/>
      <c r="C297" s="22"/>
      <c r="D297" s="23"/>
      <c r="E297" s="20">
        <f>SUM(E291:E296)</f>
        <v>418.375</v>
      </c>
      <c r="F297" s="4"/>
    </row>
    <row r="298" spans="1:6" ht="24.75" customHeight="1" x14ac:dyDescent="0.3">
      <c r="A298" s="4"/>
      <c r="B298" s="17"/>
      <c r="C298" s="18"/>
      <c r="D298" s="17"/>
      <c r="E298" s="17"/>
      <c r="F298" s="4"/>
    </row>
    <row r="299" spans="1:6" ht="24.75" customHeight="1" x14ac:dyDescent="0.3">
      <c r="A299" s="24" t="s">
        <v>193</v>
      </c>
      <c r="B299" s="21"/>
      <c r="C299" s="21"/>
      <c r="D299" s="21"/>
      <c r="E299" s="21"/>
      <c r="F299" s="4"/>
    </row>
    <row r="300" spans="1:6" ht="24.75" customHeight="1" x14ac:dyDescent="0.3">
      <c r="A300" s="8" t="s">
        <v>1</v>
      </c>
      <c r="B300" s="9" t="s">
        <v>2</v>
      </c>
      <c r="C300" s="10" t="s">
        <v>3</v>
      </c>
      <c r="D300" s="9" t="s">
        <v>4</v>
      </c>
      <c r="E300" s="9" t="s">
        <v>5</v>
      </c>
      <c r="F300" s="4"/>
    </row>
    <row r="301" spans="1:6" ht="24.75" customHeight="1" x14ac:dyDescent="0.3">
      <c r="A301" s="8" t="s">
        <v>86</v>
      </c>
      <c r="B301" s="9">
        <v>52.5</v>
      </c>
      <c r="C301" s="10">
        <f>B301/60</f>
        <v>0.875</v>
      </c>
      <c r="D301" s="9">
        <v>365</v>
      </c>
      <c r="E301" s="12">
        <f>D301*C301</f>
        <v>319.375</v>
      </c>
      <c r="F301" s="4"/>
    </row>
    <row r="302" spans="1:6" ht="24.75" customHeight="1" x14ac:dyDescent="0.3">
      <c r="A302" s="13" t="s">
        <v>12</v>
      </c>
      <c r="B302" s="22"/>
      <c r="C302" s="22"/>
      <c r="D302" s="23"/>
      <c r="E302" s="20">
        <f>SUM(E301)</f>
        <v>319.375</v>
      </c>
      <c r="F302" s="4"/>
    </row>
    <row r="303" spans="1:6" ht="24.75" customHeight="1" x14ac:dyDescent="0.3">
      <c r="A303" s="34"/>
      <c r="B303" s="34"/>
      <c r="C303" s="35"/>
      <c r="D303" s="34"/>
      <c r="E303" s="34"/>
      <c r="F303" s="33"/>
    </row>
    <row r="304" spans="1:6" ht="24.75" customHeight="1" x14ac:dyDescent="0.3">
      <c r="A304" s="5" t="s">
        <v>194</v>
      </c>
      <c r="B304" s="21"/>
      <c r="C304" s="21"/>
      <c r="D304" s="21"/>
      <c r="E304" s="21"/>
      <c r="F304" s="4"/>
    </row>
    <row r="305" spans="1:6" ht="24.75" customHeight="1" x14ac:dyDescent="0.3">
      <c r="A305" s="8" t="s">
        <v>1</v>
      </c>
      <c r="B305" s="9" t="s">
        <v>2</v>
      </c>
      <c r="C305" s="10" t="s">
        <v>3</v>
      </c>
      <c r="D305" s="9" t="s">
        <v>4</v>
      </c>
      <c r="E305" s="9" t="s">
        <v>5</v>
      </c>
      <c r="F305" s="4"/>
    </row>
    <row r="306" spans="1:6" ht="24.75" customHeight="1" x14ac:dyDescent="0.3">
      <c r="A306" s="8" t="s">
        <v>195</v>
      </c>
      <c r="B306" s="9">
        <v>82.5</v>
      </c>
      <c r="C306" s="10">
        <f t="shared" ref="C306:C311" si="40">B306/60</f>
        <v>1.375</v>
      </c>
      <c r="D306" s="9">
        <v>365</v>
      </c>
      <c r="E306" s="12">
        <f t="shared" ref="E306:E311" si="41">D306*C306</f>
        <v>501.875</v>
      </c>
      <c r="F306" s="4"/>
    </row>
    <row r="307" spans="1:6" ht="24.75" customHeight="1" x14ac:dyDescent="0.3">
      <c r="A307" s="8" t="s">
        <v>196</v>
      </c>
      <c r="B307" s="9">
        <v>270</v>
      </c>
      <c r="C307" s="10">
        <f t="shared" si="40"/>
        <v>4.5</v>
      </c>
      <c r="D307" s="9">
        <v>12</v>
      </c>
      <c r="E307" s="12">
        <f t="shared" si="41"/>
        <v>54</v>
      </c>
      <c r="F307" s="4"/>
    </row>
    <row r="308" spans="1:6" ht="24.75" customHeight="1" x14ac:dyDescent="0.3">
      <c r="A308" s="8" t="s">
        <v>197</v>
      </c>
      <c r="B308" s="9">
        <v>405</v>
      </c>
      <c r="C308" s="10">
        <f t="shared" si="40"/>
        <v>6.75</v>
      </c>
      <c r="D308" s="9">
        <v>6</v>
      </c>
      <c r="E308" s="12">
        <f t="shared" si="41"/>
        <v>40.5</v>
      </c>
      <c r="F308" s="4"/>
    </row>
    <row r="309" spans="1:6" ht="24.75" customHeight="1" x14ac:dyDescent="0.3">
      <c r="A309" s="8" t="s">
        <v>198</v>
      </c>
      <c r="B309" s="9">
        <v>765</v>
      </c>
      <c r="C309" s="10">
        <f t="shared" si="40"/>
        <v>12.75</v>
      </c>
      <c r="D309" s="9">
        <v>3</v>
      </c>
      <c r="E309" s="12">
        <f t="shared" si="41"/>
        <v>38.25</v>
      </c>
      <c r="F309" s="4"/>
    </row>
    <row r="310" spans="1:6" ht="24.75" customHeight="1" x14ac:dyDescent="0.3">
      <c r="A310" s="8" t="s">
        <v>199</v>
      </c>
      <c r="B310" s="9">
        <v>900</v>
      </c>
      <c r="C310" s="10">
        <f t="shared" si="40"/>
        <v>15</v>
      </c>
      <c r="D310" s="9">
        <v>3</v>
      </c>
      <c r="E310" s="12">
        <f t="shared" si="41"/>
        <v>45</v>
      </c>
      <c r="F310" s="4"/>
    </row>
    <row r="311" spans="1:6" ht="24.75" customHeight="1" x14ac:dyDescent="0.3">
      <c r="A311" s="11" t="s">
        <v>11</v>
      </c>
      <c r="B311" s="9">
        <v>240</v>
      </c>
      <c r="C311" s="10">
        <f t="shared" si="40"/>
        <v>4</v>
      </c>
      <c r="D311" s="9">
        <v>8</v>
      </c>
      <c r="E311" s="12">
        <f t="shared" si="41"/>
        <v>32</v>
      </c>
      <c r="F311" s="4"/>
    </row>
    <row r="312" spans="1:6" ht="24.75" customHeight="1" x14ac:dyDescent="0.3">
      <c r="A312" s="13" t="s">
        <v>12</v>
      </c>
      <c r="B312" s="22"/>
      <c r="C312" s="22"/>
      <c r="D312" s="23"/>
      <c r="E312" s="20">
        <f>SUM(E306:E311)</f>
        <v>711.625</v>
      </c>
      <c r="F312" s="4"/>
    </row>
    <row r="313" spans="1:6" ht="24.75" customHeight="1" x14ac:dyDescent="0.3">
      <c r="A313" s="4"/>
      <c r="B313" s="17"/>
      <c r="C313" s="18"/>
      <c r="D313" s="17"/>
      <c r="E313" s="32"/>
      <c r="F313" s="4"/>
    </row>
    <row r="314" spans="1:6" ht="24.75" customHeight="1" x14ac:dyDescent="0.3">
      <c r="A314" s="4"/>
      <c r="B314" s="17"/>
      <c r="C314" s="18"/>
      <c r="D314" s="17"/>
      <c r="E314" s="32"/>
      <c r="F314" s="4"/>
    </row>
    <row r="315" spans="1:6" ht="14.25" customHeight="1" x14ac:dyDescent="0.4">
      <c r="A315" s="36" t="s">
        <v>200</v>
      </c>
      <c r="B315" s="21"/>
      <c r="C315" s="21"/>
      <c r="D315" s="21"/>
      <c r="E315" s="37"/>
    </row>
    <row r="316" spans="1:6" ht="14.25" customHeight="1" x14ac:dyDescent="0.4">
      <c r="A316" s="38" t="s">
        <v>1</v>
      </c>
      <c r="B316" s="39" t="s">
        <v>2</v>
      </c>
      <c r="C316" s="40" t="s">
        <v>3</v>
      </c>
      <c r="D316" s="39" t="s">
        <v>4</v>
      </c>
      <c r="E316" s="39" t="s">
        <v>5</v>
      </c>
    </row>
    <row r="317" spans="1:6" ht="14.25" customHeight="1" x14ac:dyDescent="0.4">
      <c r="A317" s="38" t="s">
        <v>195</v>
      </c>
      <c r="B317" s="9">
        <v>82.5</v>
      </c>
      <c r="C317" s="10">
        <f t="shared" ref="C317:C337" si="42">B317/60</f>
        <v>1.375</v>
      </c>
      <c r="D317" s="9">
        <v>365</v>
      </c>
      <c r="E317" s="12">
        <f t="shared" ref="E317:E337" si="43">D317*C317</f>
        <v>501.875</v>
      </c>
    </row>
    <row r="318" spans="1:6" ht="14.25" customHeight="1" x14ac:dyDescent="0.4">
      <c r="A318" s="38" t="s">
        <v>201</v>
      </c>
      <c r="B318" s="9">
        <v>1440</v>
      </c>
      <c r="C318" s="10">
        <f t="shared" si="42"/>
        <v>24</v>
      </c>
      <c r="D318" s="39">
        <v>24</v>
      </c>
      <c r="E318" s="12">
        <f t="shared" si="43"/>
        <v>576</v>
      </c>
    </row>
    <row r="319" spans="1:6" ht="14.25" customHeight="1" x14ac:dyDescent="0.4">
      <c r="A319" s="38" t="s">
        <v>202</v>
      </c>
      <c r="B319" s="9">
        <v>1440</v>
      </c>
      <c r="C319" s="10">
        <f t="shared" si="42"/>
        <v>24</v>
      </c>
      <c r="D319" s="39">
        <v>24</v>
      </c>
      <c r="E319" s="12">
        <f t="shared" si="43"/>
        <v>576</v>
      </c>
    </row>
    <row r="320" spans="1:6" ht="14.25" customHeight="1" x14ac:dyDescent="0.4">
      <c r="A320" s="38" t="s">
        <v>203</v>
      </c>
      <c r="B320" s="9">
        <v>180</v>
      </c>
      <c r="C320" s="10">
        <f t="shared" si="42"/>
        <v>3</v>
      </c>
      <c r="D320" s="39">
        <v>6</v>
      </c>
      <c r="E320" s="12">
        <f t="shared" si="43"/>
        <v>18</v>
      </c>
    </row>
    <row r="321" spans="1:5" ht="14.25" customHeight="1" x14ac:dyDescent="0.4">
      <c r="A321" s="38" t="s">
        <v>204</v>
      </c>
      <c r="B321" s="9">
        <v>180</v>
      </c>
      <c r="C321" s="10">
        <f t="shared" si="42"/>
        <v>3</v>
      </c>
      <c r="D321" s="39">
        <v>12</v>
      </c>
      <c r="E321" s="12">
        <f t="shared" si="43"/>
        <v>36</v>
      </c>
    </row>
    <row r="322" spans="1:5" ht="14.25" customHeight="1" x14ac:dyDescent="0.4">
      <c r="A322" s="38" t="s">
        <v>205</v>
      </c>
      <c r="B322" s="9">
        <v>180</v>
      </c>
      <c r="C322" s="10">
        <f t="shared" si="42"/>
        <v>3</v>
      </c>
      <c r="D322" s="39">
        <v>12</v>
      </c>
      <c r="E322" s="12">
        <f t="shared" si="43"/>
        <v>36</v>
      </c>
    </row>
    <row r="323" spans="1:5" ht="14.25" customHeight="1" x14ac:dyDescent="0.4">
      <c r="A323" s="38" t="s">
        <v>206</v>
      </c>
      <c r="B323" s="9">
        <v>360</v>
      </c>
      <c r="C323" s="10">
        <f t="shared" si="42"/>
        <v>6</v>
      </c>
      <c r="D323" s="39">
        <v>12</v>
      </c>
      <c r="E323" s="12">
        <f t="shared" si="43"/>
        <v>72</v>
      </c>
    </row>
    <row r="324" spans="1:5" ht="14.25" customHeight="1" x14ac:dyDescent="0.4">
      <c r="A324" s="38" t="s">
        <v>207</v>
      </c>
      <c r="B324" s="9">
        <v>180</v>
      </c>
      <c r="C324" s="10">
        <f t="shared" si="42"/>
        <v>3</v>
      </c>
      <c r="D324" s="39">
        <v>4</v>
      </c>
      <c r="E324" s="12">
        <f t="shared" si="43"/>
        <v>12</v>
      </c>
    </row>
    <row r="325" spans="1:5" ht="14.25" customHeight="1" x14ac:dyDescent="0.4">
      <c r="A325" s="38" t="s">
        <v>208</v>
      </c>
      <c r="B325" s="9">
        <v>180</v>
      </c>
      <c r="C325" s="10">
        <f t="shared" si="42"/>
        <v>3</v>
      </c>
      <c r="D325" s="39">
        <v>4</v>
      </c>
      <c r="E325" s="12">
        <f t="shared" si="43"/>
        <v>12</v>
      </c>
    </row>
    <row r="326" spans="1:5" ht="14.25" customHeight="1" x14ac:dyDescent="0.4">
      <c r="A326" s="38" t="s">
        <v>209</v>
      </c>
      <c r="B326" s="9">
        <v>180</v>
      </c>
      <c r="C326" s="10">
        <f t="shared" si="42"/>
        <v>3</v>
      </c>
      <c r="D326" s="39">
        <v>4</v>
      </c>
      <c r="E326" s="12">
        <f t="shared" si="43"/>
        <v>12</v>
      </c>
    </row>
    <row r="327" spans="1:5" ht="14.25" customHeight="1" x14ac:dyDescent="0.4">
      <c r="A327" s="38" t="s">
        <v>210</v>
      </c>
      <c r="B327" s="9">
        <v>180</v>
      </c>
      <c r="C327" s="10">
        <f t="shared" si="42"/>
        <v>3</v>
      </c>
      <c r="D327" s="39">
        <v>4</v>
      </c>
      <c r="E327" s="12">
        <f t="shared" si="43"/>
        <v>12</v>
      </c>
    </row>
    <row r="328" spans="1:5" ht="14.25" customHeight="1" x14ac:dyDescent="0.4">
      <c r="A328" s="38" t="s">
        <v>211</v>
      </c>
      <c r="B328" s="9">
        <v>180</v>
      </c>
      <c r="C328" s="10">
        <f t="shared" si="42"/>
        <v>3</v>
      </c>
      <c r="D328" s="39">
        <v>4</v>
      </c>
      <c r="E328" s="12">
        <f t="shared" si="43"/>
        <v>12</v>
      </c>
    </row>
    <row r="329" spans="1:5" ht="14.25" customHeight="1" x14ac:dyDescent="0.4">
      <c r="A329" s="38" t="s">
        <v>212</v>
      </c>
      <c r="B329" s="9">
        <v>180</v>
      </c>
      <c r="C329" s="10">
        <f t="shared" si="42"/>
        <v>3</v>
      </c>
      <c r="D329" s="39">
        <v>4</v>
      </c>
      <c r="E329" s="12">
        <f t="shared" si="43"/>
        <v>12</v>
      </c>
    </row>
    <row r="330" spans="1:5" ht="14.25" customHeight="1" x14ac:dyDescent="0.4">
      <c r="A330" s="38" t="s">
        <v>213</v>
      </c>
      <c r="B330" s="9">
        <v>180</v>
      </c>
      <c r="C330" s="10">
        <f t="shared" si="42"/>
        <v>3</v>
      </c>
      <c r="D330" s="39">
        <v>4</v>
      </c>
      <c r="E330" s="12">
        <f t="shared" si="43"/>
        <v>12</v>
      </c>
    </row>
    <row r="331" spans="1:5" ht="14.25" customHeight="1" x14ac:dyDescent="0.4">
      <c r="A331" s="38" t="s">
        <v>214</v>
      </c>
      <c r="B331" s="9">
        <v>180</v>
      </c>
      <c r="C331" s="10">
        <f t="shared" si="42"/>
        <v>3</v>
      </c>
      <c r="D331" s="39">
        <v>2</v>
      </c>
      <c r="E331" s="12">
        <f t="shared" si="43"/>
        <v>6</v>
      </c>
    </row>
    <row r="332" spans="1:5" ht="14.25" customHeight="1" x14ac:dyDescent="0.4">
      <c r="A332" s="38" t="s">
        <v>215</v>
      </c>
      <c r="B332" s="9">
        <v>720</v>
      </c>
      <c r="C332" s="10">
        <f t="shared" si="42"/>
        <v>12</v>
      </c>
      <c r="D332" s="39">
        <v>1</v>
      </c>
      <c r="E332" s="12">
        <f t="shared" si="43"/>
        <v>12</v>
      </c>
    </row>
    <row r="333" spans="1:5" ht="14.25" customHeight="1" x14ac:dyDescent="0.4">
      <c r="A333" s="38" t="s">
        <v>216</v>
      </c>
      <c r="B333" s="9">
        <v>720</v>
      </c>
      <c r="C333" s="10">
        <f t="shared" si="42"/>
        <v>12</v>
      </c>
      <c r="D333" s="39">
        <v>1</v>
      </c>
      <c r="E333" s="12">
        <f t="shared" si="43"/>
        <v>12</v>
      </c>
    </row>
    <row r="334" spans="1:5" ht="14.25" customHeight="1" x14ac:dyDescent="0.4">
      <c r="A334" s="38" t="s">
        <v>217</v>
      </c>
      <c r="B334" s="9">
        <v>720</v>
      </c>
      <c r="C334" s="10">
        <f t="shared" si="42"/>
        <v>12</v>
      </c>
      <c r="D334" s="39">
        <v>1</v>
      </c>
      <c r="E334" s="12">
        <f t="shared" si="43"/>
        <v>12</v>
      </c>
    </row>
    <row r="335" spans="1:5" ht="14.25" customHeight="1" x14ac:dyDescent="0.4">
      <c r="A335" s="38" t="s">
        <v>218</v>
      </c>
      <c r="B335" s="9">
        <v>360</v>
      </c>
      <c r="C335" s="10">
        <f t="shared" si="42"/>
        <v>6</v>
      </c>
      <c r="D335" s="39">
        <v>1</v>
      </c>
      <c r="E335" s="12">
        <f t="shared" si="43"/>
        <v>6</v>
      </c>
    </row>
    <row r="336" spans="1:5" ht="14.25" customHeight="1" x14ac:dyDescent="0.4">
      <c r="A336" s="38" t="s">
        <v>219</v>
      </c>
      <c r="B336" s="9">
        <v>360</v>
      </c>
      <c r="C336" s="10">
        <f t="shared" si="42"/>
        <v>6</v>
      </c>
      <c r="D336" s="39">
        <v>1</v>
      </c>
      <c r="E336" s="12">
        <f t="shared" si="43"/>
        <v>6</v>
      </c>
    </row>
    <row r="337" spans="1:5" ht="14.25" customHeight="1" x14ac:dyDescent="0.4">
      <c r="A337" s="38" t="s">
        <v>220</v>
      </c>
      <c r="B337" s="9">
        <v>720</v>
      </c>
      <c r="C337" s="10">
        <f t="shared" si="42"/>
        <v>12</v>
      </c>
      <c r="D337" s="39">
        <v>1</v>
      </c>
      <c r="E337" s="12">
        <f t="shared" si="43"/>
        <v>12</v>
      </c>
    </row>
    <row r="338" spans="1:5" ht="14.25" customHeight="1" x14ac:dyDescent="0.3">
      <c r="A338" s="13" t="s">
        <v>12</v>
      </c>
      <c r="B338" s="22"/>
      <c r="C338" s="22"/>
      <c r="D338" s="23"/>
      <c r="E338" s="20">
        <f>SUM(E317:E337)</f>
        <v>1965.875</v>
      </c>
    </row>
    <row r="339" spans="1:5" ht="14.25" customHeight="1" x14ac:dyDescent="0.4">
      <c r="A339" s="41"/>
      <c r="B339" s="42"/>
      <c r="C339" s="43"/>
      <c r="D339" s="42"/>
      <c r="E339" s="42"/>
    </row>
    <row r="340" spans="1:5" ht="14.25" customHeight="1" x14ac:dyDescent="0.3">
      <c r="A340" s="24" t="s">
        <v>221</v>
      </c>
      <c r="B340" s="21"/>
      <c r="C340" s="21"/>
      <c r="D340" s="21"/>
      <c r="E340" s="21"/>
    </row>
    <row r="341" spans="1:5" ht="14.25" customHeight="1" x14ac:dyDescent="0.3">
      <c r="A341" s="8" t="s">
        <v>1</v>
      </c>
      <c r="B341" s="9" t="s">
        <v>2</v>
      </c>
      <c r="C341" s="10" t="s">
        <v>3</v>
      </c>
      <c r="D341" s="9" t="s">
        <v>4</v>
      </c>
      <c r="E341" s="9" t="s">
        <v>5</v>
      </c>
    </row>
    <row r="342" spans="1:5" ht="14.25" customHeight="1" x14ac:dyDescent="0.3">
      <c r="A342" s="8" t="s">
        <v>222</v>
      </c>
      <c r="B342" s="9">
        <v>90</v>
      </c>
      <c r="C342" s="10">
        <f t="shared" ref="C342:C381" si="44">B342/60</f>
        <v>1.5</v>
      </c>
      <c r="D342" s="9">
        <v>365</v>
      </c>
      <c r="E342" s="12">
        <f t="shared" ref="E342:E381" si="45">D342*C342</f>
        <v>547.5</v>
      </c>
    </row>
    <row r="343" spans="1:5" ht="14.25" customHeight="1" x14ac:dyDescent="0.3">
      <c r="A343" s="8" t="s">
        <v>223</v>
      </c>
      <c r="B343" s="9">
        <v>90</v>
      </c>
      <c r="C343" s="10">
        <f t="shared" si="44"/>
        <v>1.5</v>
      </c>
      <c r="D343" s="9">
        <v>365</v>
      </c>
      <c r="E343" s="12">
        <f t="shared" si="45"/>
        <v>547.5</v>
      </c>
    </row>
    <row r="344" spans="1:5" ht="14.25" customHeight="1" x14ac:dyDescent="0.3">
      <c r="A344" s="8" t="s">
        <v>224</v>
      </c>
      <c r="B344" s="9">
        <v>90</v>
      </c>
      <c r="C344" s="10">
        <f t="shared" si="44"/>
        <v>1.5</v>
      </c>
      <c r="D344" s="9">
        <v>365</v>
      </c>
      <c r="E344" s="12">
        <f t="shared" si="45"/>
        <v>547.5</v>
      </c>
    </row>
    <row r="345" spans="1:5" ht="14.25" customHeight="1" x14ac:dyDescent="0.3">
      <c r="A345" s="8" t="s">
        <v>225</v>
      </c>
      <c r="B345" s="9">
        <v>90</v>
      </c>
      <c r="C345" s="10">
        <f t="shared" si="44"/>
        <v>1.5</v>
      </c>
      <c r="D345" s="9">
        <v>365</v>
      </c>
      <c r="E345" s="12">
        <f t="shared" si="45"/>
        <v>547.5</v>
      </c>
    </row>
    <row r="346" spans="1:5" ht="14.25" customHeight="1" x14ac:dyDescent="0.3">
      <c r="A346" s="8" t="s">
        <v>226</v>
      </c>
      <c r="B346" s="9">
        <v>67.5</v>
      </c>
      <c r="C346" s="10">
        <f t="shared" si="44"/>
        <v>1.125</v>
      </c>
      <c r="D346" s="9">
        <v>365</v>
      </c>
      <c r="E346" s="12">
        <f t="shared" si="45"/>
        <v>410.625</v>
      </c>
    </row>
    <row r="347" spans="1:5" ht="14.25" customHeight="1" x14ac:dyDescent="0.3">
      <c r="A347" s="8" t="s">
        <v>227</v>
      </c>
      <c r="B347" s="9">
        <v>105</v>
      </c>
      <c r="C347" s="10">
        <f t="shared" si="44"/>
        <v>1.75</v>
      </c>
      <c r="D347" s="9">
        <v>365</v>
      </c>
      <c r="E347" s="12">
        <f t="shared" si="45"/>
        <v>638.75</v>
      </c>
    </row>
    <row r="348" spans="1:5" ht="14.25" customHeight="1" x14ac:dyDescent="0.3">
      <c r="A348" s="8" t="s">
        <v>228</v>
      </c>
      <c r="B348" s="9">
        <v>105</v>
      </c>
      <c r="C348" s="10">
        <f t="shared" si="44"/>
        <v>1.75</v>
      </c>
      <c r="D348" s="9">
        <v>365</v>
      </c>
      <c r="E348" s="12">
        <f t="shared" si="45"/>
        <v>638.75</v>
      </c>
    </row>
    <row r="349" spans="1:5" ht="14.25" customHeight="1" x14ac:dyDescent="0.3">
      <c r="A349" s="8" t="s">
        <v>229</v>
      </c>
      <c r="B349" s="9">
        <v>105</v>
      </c>
      <c r="C349" s="10">
        <f t="shared" si="44"/>
        <v>1.75</v>
      </c>
      <c r="D349" s="9">
        <v>365</v>
      </c>
      <c r="E349" s="12">
        <f t="shared" si="45"/>
        <v>638.75</v>
      </c>
    </row>
    <row r="350" spans="1:5" ht="14.25" customHeight="1" x14ac:dyDescent="0.3">
      <c r="A350" s="8" t="s">
        <v>230</v>
      </c>
      <c r="B350" s="9">
        <v>105</v>
      </c>
      <c r="C350" s="10">
        <f t="shared" si="44"/>
        <v>1.75</v>
      </c>
      <c r="D350" s="9">
        <v>365</v>
      </c>
      <c r="E350" s="12">
        <f t="shared" si="45"/>
        <v>638.75</v>
      </c>
    </row>
    <row r="351" spans="1:5" ht="14.25" customHeight="1" x14ac:dyDescent="0.3">
      <c r="A351" s="8" t="s">
        <v>231</v>
      </c>
      <c r="B351" s="9">
        <v>105</v>
      </c>
      <c r="C351" s="10">
        <f t="shared" si="44"/>
        <v>1.75</v>
      </c>
      <c r="D351" s="9">
        <v>365</v>
      </c>
      <c r="E351" s="12">
        <f t="shared" si="45"/>
        <v>638.75</v>
      </c>
    </row>
    <row r="352" spans="1:5" ht="14.25" customHeight="1" x14ac:dyDescent="0.3">
      <c r="A352" s="8" t="s">
        <v>232</v>
      </c>
      <c r="B352" s="9">
        <v>105</v>
      </c>
      <c r="C352" s="10">
        <f t="shared" si="44"/>
        <v>1.75</v>
      </c>
      <c r="D352" s="9">
        <v>365</v>
      </c>
      <c r="E352" s="12">
        <f t="shared" si="45"/>
        <v>638.75</v>
      </c>
    </row>
    <row r="353" spans="1:5" ht="14.25" customHeight="1" x14ac:dyDescent="0.3">
      <c r="A353" s="8" t="s">
        <v>233</v>
      </c>
      <c r="B353" s="9">
        <v>67.5</v>
      </c>
      <c r="C353" s="10">
        <f t="shared" si="44"/>
        <v>1.125</v>
      </c>
      <c r="D353" s="9">
        <v>365</v>
      </c>
      <c r="E353" s="12">
        <f t="shared" si="45"/>
        <v>410.625</v>
      </c>
    </row>
    <row r="354" spans="1:5" ht="14.25" customHeight="1" x14ac:dyDescent="0.3">
      <c r="A354" s="8" t="s">
        <v>234</v>
      </c>
      <c r="B354" s="9">
        <v>135</v>
      </c>
      <c r="C354" s="10">
        <f t="shared" si="44"/>
        <v>2.25</v>
      </c>
      <c r="D354" s="9">
        <v>365</v>
      </c>
      <c r="E354" s="12">
        <f t="shared" si="45"/>
        <v>821.25</v>
      </c>
    </row>
    <row r="355" spans="1:5" ht="14.25" customHeight="1" x14ac:dyDescent="0.3">
      <c r="A355" s="8" t="s">
        <v>235</v>
      </c>
      <c r="B355" s="9">
        <v>135</v>
      </c>
      <c r="C355" s="10">
        <f t="shared" si="44"/>
        <v>2.25</v>
      </c>
      <c r="D355" s="9">
        <v>365</v>
      </c>
      <c r="E355" s="12">
        <f t="shared" si="45"/>
        <v>821.25</v>
      </c>
    </row>
    <row r="356" spans="1:5" ht="14.25" customHeight="1" x14ac:dyDescent="0.3">
      <c r="A356" s="8" t="s">
        <v>236</v>
      </c>
      <c r="B356" s="9">
        <v>135</v>
      </c>
      <c r="C356" s="10">
        <f t="shared" si="44"/>
        <v>2.25</v>
      </c>
      <c r="D356" s="9">
        <v>365</v>
      </c>
      <c r="E356" s="12">
        <f t="shared" si="45"/>
        <v>821.25</v>
      </c>
    </row>
    <row r="357" spans="1:5" ht="14.25" customHeight="1" x14ac:dyDescent="0.3">
      <c r="A357" s="8" t="s">
        <v>237</v>
      </c>
      <c r="B357" s="9">
        <v>135</v>
      </c>
      <c r="C357" s="10">
        <f t="shared" si="44"/>
        <v>2.25</v>
      </c>
      <c r="D357" s="9">
        <v>365</v>
      </c>
      <c r="E357" s="12">
        <f t="shared" si="45"/>
        <v>821.25</v>
      </c>
    </row>
    <row r="358" spans="1:5" ht="14.25" customHeight="1" x14ac:dyDescent="0.3">
      <c r="A358" s="8" t="s">
        <v>238</v>
      </c>
      <c r="B358" s="9">
        <v>135</v>
      </c>
      <c r="C358" s="10">
        <f t="shared" si="44"/>
        <v>2.25</v>
      </c>
      <c r="D358" s="9">
        <v>365</v>
      </c>
      <c r="E358" s="12">
        <f t="shared" si="45"/>
        <v>821.25</v>
      </c>
    </row>
    <row r="359" spans="1:5" ht="14.25" customHeight="1" x14ac:dyDescent="0.3">
      <c r="A359" s="8" t="s">
        <v>239</v>
      </c>
      <c r="B359" s="9">
        <v>135</v>
      </c>
      <c r="C359" s="10">
        <f t="shared" si="44"/>
        <v>2.25</v>
      </c>
      <c r="D359" s="9">
        <v>365</v>
      </c>
      <c r="E359" s="12">
        <f t="shared" si="45"/>
        <v>821.25</v>
      </c>
    </row>
    <row r="360" spans="1:5" ht="14.25" customHeight="1" x14ac:dyDescent="0.3">
      <c r="A360" s="8" t="s">
        <v>240</v>
      </c>
      <c r="B360" s="9">
        <v>225</v>
      </c>
      <c r="C360" s="10">
        <f t="shared" si="44"/>
        <v>3.75</v>
      </c>
      <c r="D360" s="9">
        <v>24</v>
      </c>
      <c r="E360" s="12">
        <f t="shared" si="45"/>
        <v>90</v>
      </c>
    </row>
    <row r="361" spans="1:5" ht="14.25" customHeight="1" x14ac:dyDescent="0.3">
      <c r="A361" s="8" t="s">
        <v>241</v>
      </c>
      <c r="B361" s="9">
        <v>225</v>
      </c>
      <c r="C361" s="10">
        <f t="shared" si="44"/>
        <v>3.75</v>
      </c>
      <c r="D361" s="9">
        <v>24</v>
      </c>
      <c r="E361" s="12">
        <f t="shared" si="45"/>
        <v>90</v>
      </c>
    </row>
    <row r="362" spans="1:5" ht="14.25" customHeight="1" x14ac:dyDescent="0.3">
      <c r="A362" s="8" t="s">
        <v>242</v>
      </c>
      <c r="B362" s="9">
        <v>225</v>
      </c>
      <c r="C362" s="10">
        <f t="shared" si="44"/>
        <v>3.75</v>
      </c>
      <c r="D362" s="9">
        <v>24</v>
      </c>
      <c r="E362" s="12">
        <f t="shared" si="45"/>
        <v>90</v>
      </c>
    </row>
    <row r="363" spans="1:5" ht="14.25" customHeight="1" x14ac:dyDescent="0.3">
      <c r="A363" s="8" t="s">
        <v>243</v>
      </c>
      <c r="B363" s="9">
        <v>225</v>
      </c>
      <c r="C363" s="10">
        <f t="shared" si="44"/>
        <v>3.75</v>
      </c>
      <c r="D363" s="9">
        <v>24</v>
      </c>
      <c r="E363" s="12">
        <f t="shared" si="45"/>
        <v>90</v>
      </c>
    </row>
    <row r="364" spans="1:5" ht="14.25" customHeight="1" x14ac:dyDescent="0.3">
      <c r="A364" s="8" t="s">
        <v>244</v>
      </c>
      <c r="B364" s="9">
        <v>225</v>
      </c>
      <c r="C364" s="10">
        <f t="shared" si="44"/>
        <v>3.75</v>
      </c>
      <c r="D364" s="9">
        <v>24</v>
      </c>
      <c r="E364" s="12">
        <f t="shared" si="45"/>
        <v>90</v>
      </c>
    </row>
    <row r="365" spans="1:5" ht="14.25" customHeight="1" x14ac:dyDescent="0.3">
      <c r="A365" s="8" t="s">
        <v>245</v>
      </c>
      <c r="B365" s="9">
        <v>225</v>
      </c>
      <c r="C365" s="10">
        <f t="shared" si="44"/>
        <v>3.75</v>
      </c>
      <c r="D365" s="9">
        <v>24</v>
      </c>
      <c r="E365" s="12">
        <f t="shared" si="45"/>
        <v>90</v>
      </c>
    </row>
    <row r="366" spans="1:5" ht="14.25" customHeight="1" x14ac:dyDescent="0.3">
      <c r="A366" s="8" t="s">
        <v>246</v>
      </c>
      <c r="B366" s="9">
        <v>67.5</v>
      </c>
      <c r="C366" s="10">
        <f t="shared" si="44"/>
        <v>1.125</v>
      </c>
      <c r="D366" s="9">
        <v>365</v>
      </c>
      <c r="E366" s="12">
        <f t="shared" si="45"/>
        <v>410.625</v>
      </c>
    </row>
    <row r="367" spans="1:5" ht="14.25" customHeight="1" x14ac:dyDescent="0.3">
      <c r="A367" s="8" t="s">
        <v>247</v>
      </c>
      <c r="B367" s="9">
        <v>67.5</v>
      </c>
      <c r="C367" s="10">
        <f t="shared" si="44"/>
        <v>1.125</v>
      </c>
      <c r="D367" s="9">
        <v>365</v>
      </c>
      <c r="E367" s="12">
        <f t="shared" si="45"/>
        <v>410.625</v>
      </c>
    </row>
    <row r="368" spans="1:5" ht="14.25" customHeight="1" x14ac:dyDescent="0.3">
      <c r="A368" s="8" t="s">
        <v>248</v>
      </c>
      <c r="B368" s="9">
        <v>67.5</v>
      </c>
      <c r="C368" s="10">
        <f t="shared" si="44"/>
        <v>1.125</v>
      </c>
      <c r="D368" s="9">
        <v>365</v>
      </c>
      <c r="E368" s="12">
        <f t="shared" si="45"/>
        <v>410.625</v>
      </c>
    </row>
    <row r="369" spans="1:5" ht="14.25" customHeight="1" x14ac:dyDescent="0.3">
      <c r="A369" s="8" t="s">
        <v>249</v>
      </c>
      <c r="B369" s="9">
        <v>67.5</v>
      </c>
      <c r="C369" s="10">
        <f t="shared" si="44"/>
        <v>1.125</v>
      </c>
      <c r="D369" s="9">
        <v>365</v>
      </c>
      <c r="E369" s="12">
        <f t="shared" si="45"/>
        <v>410.625</v>
      </c>
    </row>
    <row r="370" spans="1:5" ht="14.25" customHeight="1" x14ac:dyDescent="0.3">
      <c r="A370" s="8" t="s">
        <v>250</v>
      </c>
      <c r="B370" s="9">
        <v>67.5</v>
      </c>
      <c r="C370" s="10">
        <f t="shared" si="44"/>
        <v>1.125</v>
      </c>
      <c r="D370" s="9">
        <v>365</v>
      </c>
      <c r="E370" s="12">
        <f t="shared" si="45"/>
        <v>410.625</v>
      </c>
    </row>
    <row r="371" spans="1:5" ht="14.25" customHeight="1" x14ac:dyDescent="0.3">
      <c r="A371" s="8" t="s">
        <v>251</v>
      </c>
      <c r="B371" s="9">
        <v>67.5</v>
      </c>
      <c r="C371" s="10">
        <f t="shared" si="44"/>
        <v>1.125</v>
      </c>
      <c r="D371" s="9">
        <v>365</v>
      </c>
      <c r="E371" s="12">
        <f t="shared" si="45"/>
        <v>410.625</v>
      </c>
    </row>
    <row r="372" spans="1:5" ht="14.25" customHeight="1" x14ac:dyDescent="0.3">
      <c r="A372" s="8" t="s">
        <v>252</v>
      </c>
      <c r="B372" s="9">
        <v>67.5</v>
      </c>
      <c r="C372" s="10">
        <f t="shared" si="44"/>
        <v>1.125</v>
      </c>
      <c r="D372" s="9">
        <v>365</v>
      </c>
      <c r="E372" s="12">
        <f t="shared" si="45"/>
        <v>410.625</v>
      </c>
    </row>
    <row r="373" spans="1:5" ht="14.25" customHeight="1" x14ac:dyDescent="0.3">
      <c r="A373" s="8" t="s">
        <v>253</v>
      </c>
      <c r="B373" s="9">
        <v>67.5</v>
      </c>
      <c r="C373" s="10">
        <f t="shared" si="44"/>
        <v>1.125</v>
      </c>
      <c r="D373" s="9">
        <v>365</v>
      </c>
      <c r="E373" s="12">
        <f t="shared" si="45"/>
        <v>410.625</v>
      </c>
    </row>
    <row r="374" spans="1:5" ht="14.25" customHeight="1" x14ac:dyDescent="0.3">
      <c r="A374" s="8" t="s">
        <v>254</v>
      </c>
      <c r="B374" s="9">
        <v>67.5</v>
      </c>
      <c r="C374" s="10">
        <f t="shared" si="44"/>
        <v>1.125</v>
      </c>
      <c r="D374" s="9">
        <v>365</v>
      </c>
      <c r="E374" s="12">
        <f t="shared" si="45"/>
        <v>410.625</v>
      </c>
    </row>
    <row r="375" spans="1:5" ht="14.25" customHeight="1" x14ac:dyDescent="0.3">
      <c r="A375" s="8" t="s">
        <v>255</v>
      </c>
      <c r="B375" s="9">
        <v>67.5</v>
      </c>
      <c r="C375" s="10">
        <f t="shared" si="44"/>
        <v>1.125</v>
      </c>
      <c r="D375" s="9">
        <v>365</v>
      </c>
      <c r="E375" s="12">
        <f t="shared" si="45"/>
        <v>410.625</v>
      </c>
    </row>
    <row r="376" spans="1:5" ht="14.25" customHeight="1" x14ac:dyDescent="0.3">
      <c r="A376" s="8" t="s">
        <v>256</v>
      </c>
      <c r="B376" s="9">
        <v>67.5</v>
      </c>
      <c r="C376" s="10">
        <f t="shared" si="44"/>
        <v>1.125</v>
      </c>
      <c r="D376" s="9">
        <v>365</v>
      </c>
      <c r="E376" s="12">
        <f t="shared" si="45"/>
        <v>410.625</v>
      </c>
    </row>
    <row r="377" spans="1:5" ht="14.25" customHeight="1" x14ac:dyDescent="0.3">
      <c r="A377" s="8" t="s">
        <v>257</v>
      </c>
      <c r="B377" s="9">
        <v>67.5</v>
      </c>
      <c r="C377" s="10">
        <f t="shared" si="44"/>
        <v>1.125</v>
      </c>
      <c r="D377" s="9">
        <v>365</v>
      </c>
      <c r="E377" s="12">
        <f t="shared" si="45"/>
        <v>410.625</v>
      </c>
    </row>
    <row r="378" spans="1:5" ht="14.25" customHeight="1" x14ac:dyDescent="0.3">
      <c r="A378" s="8" t="s">
        <v>258</v>
      </c>
      <c r="B378" s="9">
        <v>135</v>
      </c>
      <c r="C378" s="10">
        <f t="shared" si="44"/>
        <v>2.25</v>
      </c>
      <c r="D378" s="9">
        <v>365</v>
      </c>
      <c r="E378" s="12">
        <f t="shared" si="45"/>
        <v>821.25</v>
      </c>
    </row>
    <row r="379" spans="1:5" ht="14.25" customHeight="1" x14ac:dyDescent="0.3">
      <c r="A379" s="8" t="s">
        <v>259</v>
      </c>
      <c r="B379" s="9">
        <v>135</v>
      </c>
      <c r="C379" s="10">
        <f t="shared" si="44"/>
        <v>2.25</v>
      </c>
      <c r="D379" s="9">
        <v>365</v>
      </c>
      <c r="E379" s="12">
        <f t="shared" si="45"/>
        <v>821.25</v>
      </c>
    </row>
    <row r="380" spans="1:5" ht="14.25" customHeight="1" x14ac:dyDescent="0.3">
      <c r="A380" s="8" t="s">
        <v>260</v>
      </c>
      <c r="B380" s="9">
        <v>135</v>
      </c>
      <c r="C380" s="10">
        <f t="shared" si="44"/>
        <v>2.25</v>
      </c>
      <c r="D380" s="9">
        <v>365</v>
      </c>
      <c r="E380" s="12">
        <f t="shared" si="45"/>
        <v>821.25</v>
      </c>
    </row>
    <row r="381" spans="1:5" ht="14.25" customHeight="1" x14ac:dyDescent="0.3">
      <c r="A381" s="8" t="s">
        <v>261</v>
      </c>
      <c r="B381" s="9">
        <v>135</v>
      </c>
      <c r="C381" s="10">
        <f t="shared" si="44"/>
        <v>2.25</v>
      </c>
      <c r="D381" s="9">
        <v>365</v>
      </c>
      <c r="E381" s="12">
        <f t="shared" si="45"/>
        <v>821.25</v>
      </c>
    </row>
    <row r="382" spans="1:5" ht="14.25" customHeight="1" x14ac:dyDescent="0.3">
      <c r="A382" s="13" t="s">
        <v>12</v>
      </c>
      <c r="B382" s="22"/>
      <c r="C382" s="22"/>
      <c r="D382" s="23"/>
      <c r="E382" s="20">
        <f>SUM(E342:E381)</f>
        <v>20523.75</v>
      </c>
    </row>
    <row r="383" spans="1:5" ht="14.25" customHeight="1" x14ac:dyDescent="0.4">
      <c r="B383" s="3"/>
      <c r="C383" s="2"/>
      <c r="D383" s="3"/>
      <c r="E383" s="3"/>
    </row>
    <row r="384" spans="1:5" ht="14.25" customHeight="1" x14ac:dyDescent="0.3">
      <c r="A384" s="25" t="s">
        <v>262</v>
      </c>
      <c r="B384" s="22"/>
      <c r="C384" s="22"/>
      <c r="D384" s="22"/>
      <c r="E384" s="23"/>
    </row>
    <row r="385" spans="1:5" ht="14.25" customHeight="1" x14ac:dyDescent="0.3">
      <c r="A385" s="8" t="s">
        <v>1</v>
      </c>
      <c r="B385" s="9" t="s">
        <v>2</v>
      </c>
      <c r="C385" s="10" t="s">
        <v>3</v>
      </c>
      <c r="D385" s="9" t="s">
        <v>4</v>
      </c>
      <c r="E385" s="9" t="s">
        <v>5</v>
      </c>
    </row>
    <row r="386" spans="1:5" ht="14.25" customHeight="1" x14ac:dyDescent="0.3">
      <c r="A386" s="44" t="s">
        <v>55</v>
      </c>
      <c r="B386" s="9">
        <v>180</v>
      </c>
      <c r="C386" s="10">
        <f t="shared" ref="C386:C449" si="46">B386/60</f>
        <v>3</v>
      </c>
      <c r="D386" s="9">
        <v>365</v>
      </c>
      <c r="E386" s="12">
        <f t="shared" ref="E386:E449" si="47">D386*C386</f>
        <v>1095</v>
      </c>
    </row>
    <row r="387" spans="1:5" ht="14.25" customHeight="1" x14ac:dyDescent="0.3">
      <c r="A387" s="44" t="s">
        <v>263</v>
      </c>
      <c r="B387" s="9">
        <v>180</v>
      </c>
      <c r="C387" s="10">
        <f t="shared" si="46"/>
        <v>3</v>
      </c>
      <c r="D387" s="9">
        <v>12</v>
      </c>
      <c r="E387" s="12">
        <f t="shared" si="47"/>
        <v>36</v>
      </c>
    </row>
    <row r="388" spans="1:5" ht="14.25" customHeight="1" x14ac:dyDescent="0.3">
      <c r="A388" s="44" t="s">
        <v>264</v>
      </c>
      <c r="B388" s="9">
        <v>180</v>
      </c>
      <c r="C388" s="10">
        <f t="shared" si="46"/>
        <v>3</v>
      </c>
      <c r="D388" s="9">
        <v>12</v>
      </c>
      <c r="E388" s="12">
        <f t="shared" si="47"/>
        <v>36</v>
      </c>
    </row>
    <row r="389" spans="1:5" ht="14.25" customHeight="1" x14ac:dyDescent="0.3">
      <c r="A389" s="44" t="s">
        <v>265</v>
      </c>
      <c r="B389" s="9">
        <v>90</v>
      </c>
      <c r="C389" s="10">
        <f t="shared" si="46"/>
        <v>1.5</v>
      </c>
      <c r="D389" s="9">
        <v>12</v>
      </c>
      <c r="E389" s="12">
        <f t="shared" si="47"/>
        <v>18</v>
      </c>
    </row>
    <row r="390" spans="1:5" ht="14.25" customHeight="1" x14ac:dyDescent="0.3">
      <c r="A390" s="44" t="s">
        <v>266</v>
      </c>
      <c r="B390" s="9">
        <v>90</v>
      </c>
      <c r="C390" s="10">
        <f t="shared" si="46"/>
        <v>1.5</v>
      </c>
      <c r="D390" s="9">
        <v>12</v>
      </c>
      <c r="E390" s="12">
        <f t="shared" si="47"/>
        <v>18</v>
      </c>
    </row>
    <row r="391" spans="1:5" ht="14.25" customHeight="1" x14ac:dyDescent="0.3">
      <c r="A391" s="44" t="s">
        <v>267</v>
      </c>
      <c r="B391" s="9">
        <v>90</v>
      </c>
      <c r="C391" s="10">
        <f t="shared" si="46"/>
        <v>1.5</v>
      </c>
      <c r="D391" s="9">
        <v>12</v>
      </c>
      <c r="E391" s="12">
        <f t="shared" si="47"/>
        <v>18</v>
      </c>
    </row>
    <row r="392" spans="1:5" ht="14.25" customHeight="1" x14ac:dyDescent="0.3">
      <c r="A392" s="44" t="s">
        <v>268</v>
      </c>
      <c r="B392" s="9">
        <v>180</v>
      </c>
      <c r="C392" s="10">
        <f t="shared" si="46"/>
        <v>3</v>
      </c>
      <c r="D392" s="9">
        <v>12</v>
      </c>
      <c r="E392" s="12">
        <f t="shared" si="47"/>
        <v>36</v>
      </c>
    </row>
    <row r="393" spans="1:5" ht="14.25" customHeight="1" x14ac:dyDescent="0.3">
      <c r="A393" s="44" t="s">
        <v>269</v>
      </c>
      <c r="B393" s="9">
        <v>180</v>
      </c>
      <c r="C393" s="10">
        <f t="shared" si="46"/>
        <v>3</v>
      </c>
      <c r="D393" s="9">
        <v>12</v>
      </c>
      <c r="E393" s="12">
        <f t="shared" si="47"/>
        <v>36</v>
      </c>
    </row>
    <row r="394" spans="1:5" ht="14.25" customHeight="1" x14ac:dyDescent="0.3">
      <c r="A394" s="44" t="s">
        <v>270</v>
      </c>
      <c r="B394" s="9">
        <v>90</v>
      </c>
      <c r="C394" s="10">
        <f t="shared" si="46"/>
        <v>1.5</v>
      </c>
      <c r="D394" s="9">
        <v>12</v>
      </c>
      <c r="E394" s="12">
        <f t="shared" si="47"/>
        <v>18</v>
      </c>
    </row>
    <row r="395" spans="1:5" ht="14.25" customHeight="1" x14ac:dyDescent="0.3">
      <c r="A395" s="44" t="s">
        <v>271</v>
      </c>
      <c r="B395" s="9">
        <v>90</v>
      </c>
      <c r="C395" s="10">
        <f t="shared" si="46"/>
        <v>1.5</v>
      </c>
      <c r="D395" s="9">
        <v>12</v>
      </c>
      <c r="E395" s="12">
        <f t="shared" si="47"/>
        <v>18</v>
      </c>
    </row>
    <row r="396" spans="1:5" ht="14.25" customHeight="1" x14ac:dyDescent="0.3">
      <c r="A396" s="44" t="s">
        <v>272</v>
      </c>
      <c r="B396" s="9">
        <v>90</v>
      </c>
      <c r="C396" s="10">
        <f t="shared" si="46"/>
        <v>1.5</v>
      </c>
      <c r="D396" s="9">
        <v>12</v>
      </c>
      <c r="E396" s="12">
        <f t="shared" si="47"/>
        <v>18</v>
      </c>
    </row>
    <row r="397" spans="1:5" ht="14.25" customHeight="1" x14ac:dyDescent="0.3">
      <c r="A397" s="44" t="s">
        <v>273</v>
      </c>
      <c r="B397" s="9">
        <v>90</v>
      </c>
      <c r="C397" s="10">
        <f t="shared" si="46"/>
        <v>1.5</v>
      </c>
      <c r="D397" s="9">
        <v>12</v>
      </c>
      <c r="E397" s="12">
        <f t="shared" si="47"/>
        <v>18</v>
      </c>
    </row>
    <row r="398" spans="1:5" ht="14.25" customHeight="1" x14ac:dyDescent="0.3">
      <c r="A398" s="44" t="s">
        <v>274</v>
      </c>
      <c r="B398" s="9">
        <v>90</v>
      </c>
      <c r="C398" s="10">
        <f t="shared" si="46"/>
        <v>1.5</v>
      </c>
      <c r="D398" s="9">
        <v>12</v>
      </c>
      <c r="E398" s="12">
        <f t="shared" si="47"/>
        <v>18</v>
      </c>
    </row>
    <row r="399" spans="1:5" ht="14.25" customHeight="1" x14ac:dyDescent="0.3">
      <c r="A399" s="44" t="s">
        <v>275</v>
      </c>
      <c r="B399" s="9">
        <v>90</v>
      </c>
      <c r="C399" s="10">
        <f t="shared" si="46"/>
        <v>1.5</v>
      </c>
      <c r="D399" s="9">
        <v>12</v>
      </c>
      <c r="E399" s="12">
        <f t="shared" si="47"/>
        <v>18</v>
      </c>
    </row>
    <row r="400" spans="1:5" ht="14.25" customHeight="1" x14ac:dyDescent="0.3">
      <c r="A400" s="44" t="s">
        <v>276</v>
      </c>
      <c r="B400" s="9">
        <v>90</v>
      </c>
      <c r="C400" s="10">
        <f t="shared" si="46"/>
        <v>1.5</v>
      </c>
      <c r="D400" s="9">
        <v>12</v>
      </c>
      <c r="E400" s="12">
        <f t="shared" si="47"/>
        <v>18</v>
      </c>
    </row>
    <row r="401" spans="1:5" ht="14.25" customHeight="1" x14ac:dyDescent="0.3">
      <c r="A401" s="44" t="s">
        <v>277</v>
      </c>
      <c r="B401" s="9">
        <v>180</v>
      </c>
      <c r="C401" s="10">
        <f t="shared" si="46"/>
        <v>3</v>
      </c>
      <c r="D401" s="9">
        <v>12</v>
      </c>
      <c r="E401" s="12">
        <f t="shared" si="47"/>
        <v>36</v>
      </c>
    </row>
    <row r="402" spans="1:5" ht="14.25" customHeight="1" x14ac:dyDescent="0.3">
      <c r="A402" s="44" t="s">
        <v>278</v>
      </c>
      <c r="B402" s="9">
        <v>90</v>
      </c>
      <c r="C402" s="10">
        <f t="shared" si="46"/>
        <v>1.5</v>
      </c>
      <c r="D402" s="9">
        <v>12</v>
      </c>
      <c r="E402" s="12">
        <f t="shared" si="47"/>
        <v>18</v>
      </c>
    </row>
    <row r="403" spans="1:5" ht="14.25" customHeight="1" x14ac:dyDescent="0.3">
      <c r="A403" s="44" t="s">
        <v>279</v>
      </c>
      <c r="B403" s="9">
        <v>90</v>
      </c>
      <c r="C403" s="10">
        <f t="shared" si="46"/>
        <v>1.5</v>
      </c>
      <c r="D403" s="9">
        <v>12</v>
      </c>
      <c r="E403" s="12">
        <f t="shared" si="47"/>
        <v>18</v>
      </c>
    </row>
    <row r="404" spans="1:5" ht="14.25" customHeight="1" x14ac:dyDescent="0.3">
      <c r="A404" s="44" t="s">
        <v>280</v>
      </c>
      <c r="B404" s="9">
        <v>360</v>
      </c>
      <c r="C404" s="10">
        <f t="shared" si="46"/>
        <v>6</v>
      </c>
      <c r="D404" s="9">
        <v>12</v>
      </c>
      <c r="E404" s="12">
        <f t="shared" si="47"/>
        <v>72</v>
      </c>
    </row>
    <row r="405" spans="1:5" ht="14.25" customHeight="1" x14ac:dyDescent="0.3">
      <c r="A405" s="44" t="s">
        <v>281</v>
      </c>
      <c r="B405" s="9">
        <v>180</v>
      </c>
      <c r="C405" s="10">
        <f t="shared" si="46"/>
        <v>3</v>
      </c>
      <c r="D405" s="9">
        <v>12</v>
      </c>
      <c r="E405" s="12">
        <f t="shared" si="47"/>
        <v>36</v>
      </c>
    </row>
    <row r="406" spans="1:5" ht="14.25" customHeight="1" x14ac:dyDescent="0.3">
      <c r="A406" s="44" t="s">
        <v>282</v>
      </c>
      <c r="B406" s="9">
        <v>90</v>
      </c>
      <c r="C406" s="10">
        <f t="shared" si="46"/>
        <v>1.5</v>
      </c>
      <c r="D406" s="9">
        <v>12</v>
      </c>
      <c r="E406" s="12">
        <f t="shared" si="47"/>
        <v>18</v>
      </c>
    </row>
    <row r="407" spans="1:5" ht="14.25" customHeight="1" x14ac:dyDescent="0.3">
      <c r="A407" s="44" t="s">
        <v>283</v>
      </c>
      <c r="B407" s="9">
        <v>180</v>
      </c>
      <c r="C407" s="10">
        <f t="shared" si="46"/>
        <v>3</v>
      </c>
      <c r="D407" s="9">
        <v>12</v>
      </c>
      <c r="E407" s="12">
        <f t="shared" si="47"/>
        <v>36</v>
      </c>
    </row>
    <row r="408" spans="1:5" ht="14.25" customHeight="1" x14ac:dyDescent="0.3">
      <c r="A408" s="44" t="s">
        <v>284</v>
      </c>
      <c r="B408" s="9">
        <v>180</v>
      </c>
      <c r="C408" s="10">
        <f t="shared" si="46"/>
        <v>3</v>
      </c>
      <c r="D408" s="9">
        <v>12</v>
      </c>
      <c r="E408" s="12">
        <f t="shared" si="47"/>
        <v>36</v>
      </c>
    </row>
    <row r="409" spans="1:5" ht="14.25" customHeight="1" x14ac:dyDescent="0.3">
      <c r="A409" s="44" t="s">
        <v>285</v>
      </c>
      <c r="B409" s="9">
        <v>360</v>
      </c>
      <c r="C409" s="10">
        <f t="shared" si="46"/>
        <v>6</v>
      </c>
      <c r="D409" s="9">
        <v>4</v>
      </c>
      <c r="E409" s="12">
        <f t="shared" si="47"/>
        <v>24</v>
      </c>
    </row>
    <row r="410" spans="1:5" ht="14.25" customHeight="1" x14ac:dyDescent="0.3">
      <c r="A410" s="44" t="s">
        <v>286</v>
      </c>
      <c r="B410" s="9">
        <v>360</v>
      </c>
      <c r="C410" s="10">
        <f t="shared" si="46"/>
        <v>6</v>
      </c>
      <c r="D410" s="9">
        <v>4</v>
      </c>
      <c r="E410" s="12">
        <f t="shared" si="47"/>
        <v>24</v>
      </c>
    </row>
    <row r="411" spans="1:5" ht="14.25" customHeight="1" x14ac:dyDescent="0.3">
      <c r="A411" s="44" t="s">
        <v>287</v>
      </c>
      <c r="B411" s="9">
        <v>90</v>
      </c>
      <c r="C411" s="10">
        <f t="shared" si="46"/>
        <v>1.5</v>
      </c>
      <c r="D411" s="9">
        <v>4</v>
      </c>
      <c r="E411" s="12">
        <f t="shared" si="47"/>
        <v>6</v>
      </c>
    </row>
    <row r="412" spans="1:5" ht="14.25" customHeight="1" x14ac:dyDescent="0.3">
      <c r="A412" s="44" t="s">
        <v>288</v>
      </c>
      <c r="B412" s="9">
        <v>90</v>
      </c>
      <c r="C412" s="10">
        <f t="shared" si="46"/>
        <v>1.5</v>
      </c>
      <c r="D412" s="9">
        <v>4</v>
      </c>
      <c r="E412" s="12">
        <f t="shared" si="47"/>
        <v>6</v>
      </c>
    </row>
    <row r="413" spans="1:5" ht="14.25" customHeight="1" x14ac:dyDescent="0.3">
      <c r="A413" s="44" t="s">
        <v>289</v>
      </c>
      <c r="B413" s="9">
        <v>90</v>
      </c>
      <c r="C413" s="10">
        <f t="shared" si="46"/>
        <v>1.5</v>
      </c>
      <c r="D413" s="9">
        <v>4</v>
      </c>
      <c r="E413" s="12">
        <f t="shared" si="47"/>
        <v>6</v>
      </c>
    </row>
    <row r="414" spans="1:5" ht="14.25" customHeight="1" x14ac:dyDescent="0.3">
      <c r="A414" s="44" t="s">
        <v>290</v>
      </c>
      <c r="B414" s="9">
        <v>360</v>
      </c>
      <c r="C414" s="10">
        <f t="shared" si="46"/>
        <v>6</v>
      </c>
      <c r="D414" s="9">
        <v>4</v>
      </c>
      <c r="E414" s="12">
        <f t="shared" si="47"/>
        <v>24</v>
      </c>
    </row>
    <row r="415" spans="1:5" ht="14.25" customHeight="1" x14ac:dyDescent="0.3">
      <c r="A415" s="44" t="s">
        <v>291</v>
      </c>
      <c r="B415" s="9">
        <v>90</v>
      </c>
      <c r="C415" s="10">
        <f t="shared" si="46"/>
        <v>1.5</v>
      </c>
      <c r="D415" s="9">
        <v>4</v>
      </c>
      <c r="E415" s="12">
        <f t="shared" si="47"/>
        <v>6</v>
      </c>
    </row>
    <row r="416" spans="1:5" ht="14.25" customHeight="1" x14ac:dyDescent="0.3">
      <c r="A416" s="44" t="s">
        <v>292</v>
      </c>
      <c r="B416" s="9">
        <v>90</v>
      </c>
      <c r="C416" s="10">
        <f t="shared" si="46"/>
        <v>1.5</v>
      </c>
      <c r="D416" s="9">
        <v>4</v>
      </c>
      <c r="E416" s="12">
        <f t="shared" si="47"/>
        <v>6</v>
      </c>
    </row>
    <row r="417" spans="1:5" ht="14.25" customHeight="1" x14ac:dyDescent="0.3">
      <c r="A417" s="44" t="s">
        <v>293</v>
      </c>
      <c r="B417" s="9">
        <v>90</v>
      </c>
      <c r="C417" s="10">
        <f t="shared" si="46"/>
        <v>1.5</v>
      </c>
      <c r="D417" s="9">
        <v>4</v>
      </c>
      <c r="E417" s="12">
        <f t="shared" si="47"/>
        <v>6</v>
      </c>
    </row>
    <row r="418" spans="1:5" ht="14.25" customHeight="1" x14ac:dyDescent="0.3">
      <c r="A418" s="44" t="s">
        <v>294</v>
      </c>
      <c r="B418" s="9">
        <v>180</v>
      </c>
      <c r="C418" s="10">
        <f t="shared" si="46"/>
        <v>3</v>
      </c>
      <c r="D418" s="9">
        <v>2</v>
      </c>
      <c r="E418" s="12">
        <f t="shared" si="47"/>
        <v>6</v>
      </c>
    </row>
    <row r="419" spans="1:5" ht="14.25" customHeight="1" x14ac:dyDescent="0.3">
      <c r="A419" s="44" t="s">
        <v>295</v>
      </c>
      <c r="B419" s="9">
        <v>90</v>
      </c>
      <c r="C419" s="10">
        <f t="shared" si="46"/>
        <v>1.5</v>
      </c>
      <c r="D419" s="9">
        <v>1</v>
      </c>
      <c r="E419" s="12">
        <f t="shared" si="47"/>
        <v>1.5</v>
      </c>
    </row>
    <row r="420" spans="1:5" ht="14.25" customHeight="1" x14ac:dyDescent="0.3">
      <c r="A420" s="44" t="s">
        <v>296</v>
      </c>
      <c r="B420" s="9">
        <v>90</v>
      </c>
      <c r="C420" s="10">
        <f t="shared" si="46"/>
        <v>1.5</v>
      </c>
      <c r="D420" s="9">
        <v>1</v>
      </c>
      <c r="E420" s="12">
        <f t="shared" si="47"/>
        <v>1.5</v>
      </c>
    </row>
    <row r="421" spans="1:5" ht="14.25" customHeight="1" x14ac:dyDescent="0.3">
      <c r="A421" s="44" t="s">
        <v>297</v>
      </c>
      <c r="B421" s="9">
        <v>540</v>
      </c>
      <c r="C421" s="10">
        <f t="shared" si="46"/>
        <v>9</v>
      </c>
      <c r="D421" s="9">
        <v>1</v>
      </c>
      <c r="E421" s="12">
        <f t="shared" si="47"/>
        <v>9</v>
      </c>
    </row>
    <row r="422" spans="1:5" ht="14.25" customHeight="1" x14ac:dyDescent="0.3">
      <c r="A422" s="44" t="s">
        <v>298</v>
      </c>
      <c r="B422" s="9">
        <v>180</v>
      </c>
      <c r="C422" s="10">
        <f t="shared" si="46"/>
        <v>3</v>
      </c>
      <c r="D422" s="9">
        <v>1</v>
      </c>
      <c r="E422" s="12">
        <f t="shared" si="47"/>
        <v>3</v>
      </c>
    </row>
    <row r="423" spans="1:5" ht="14.25" customHeight="1" x14ac:dyDescent="0.3">
      <c r="A423" s="44" t="s">
        <v>299</v>
      </c>
      <c r="B423" s="9">
        <v>540</v>
      </c>
      <c r="C423" s="10">
        <f t="shared" si="46"/>
        <v>9</v>
      </c>
      <c r="D423" s="9">
        <v>1</v>
      </c>
      <c r="E423" s="12">
        <f t="shared" si="47"/>
        <v>9</v>
      </c>
    </row>
    <row r="424" spans="1:5" ht="14.25" customHeight="1" x14ac:dyDescent="0.3">
      <c r="A424" s="44" t="s">
        <v>300</v>
      </c>
      <c r="B424" s="9">
        <v>540</v>
      </c>
      <c r="C424" s="10">
        <f t="shared" si="46"/>
        <v>9</v>
      </c>
      <c r="D424" s="9">
        <v>1</v>
      </c>
      <c r="E424" s="12">
        <f t="shared" si="47"/>
        <v>9</v>
      </c>
    </row>
    <row r="425" spans="1:5" ht="14.25" customHeight="1" x14ac:dyDescent="0.3">
      <c r="A425" s="44" t="s">
        <v>301</v>
      </c>
      <c r="B425" s="9">
        <v>90</v>
      </c>
      <c r="C425" s="10">
        <f t="shared" si="46"/>
        <v>1.5</v>
      </c>
      <c r="D425" s="9">
        <v>1</v>
      </c>
      <c r="E425" s="12">
        <f t="shared" si="47"/>
        <v>1.5</v>
      </c>
    </row>
    <row r="426" spans="1:5" ht="14.25" customHeight="1" x14ac:dyDescent="0.3">
      <c r="A426" s="44" t="s">
        <v>302</v>
      </c>
      <c r="B426" s="9">
        <v>180</v>
      </c>
      <c r="C426" s="10">
        <f t="shared" si="46"/>
        <v>3</v>
      </c>
      <c r="D426" s="9">
        <v>1</v>
      </c>
      <c r="E426" s="12">
        <f t="shared" si="47"/>
        <v>3</v>
      </c>
    </row>
    <row r="427" spans="1:5" ht="14.25" customHeight="1" x14ac:dyDescent="0.3">
      <c r="A427" s="44" t="s">
        <v>303</v>
      </c>
      <c r="B427" s="9">
        <v>180</v>
      </c>
      <c r="C427" s="10">
        <f t="shared" si="46"/>
        <v>3</v>
      </c>
      <c r="D427" s="9">
        <v>1</v>
      </c>
      <c r="E427" s="12">
        <f t="shared" si="47"/>
        <v>3</v>
      </c>
    </row>
    <row r="428" spans="1:5" ht="14.25" customHeight="1" x14ac:dyDescent="0.3">
      <c r="A428" s="44" t="s">
        <v>304</v>
      </c>
      <c r="B428" s="9">
        <v>180</v>
      </c>
      <c r="C428" s="10">
        <f t="shared" si="46"/>
        <v>3</v>
      </c>
      <c r="D428" s="9">
        <v>1</v>
      </c>
      <c r="E428" s="12">
        <f t="shared" si="47"/>
        <v>3</v>
      </c>
    </row>
    <row r="429" spans="1:5" ht="14.25" customHeight="1" x14ac:dyDescent="0.3">
      <c r="A429" s="44" t="s">
        <v>305</v>
      </c>
      <c r="B429" s="9">
        <v>180</v>
      </c>
      <c r="C429" s="10">
        <f t="shared" si="46"/>
        <v>3</v>
      </c>
      <c r="D429" s="9">
        <v>1</v>
      </c>
      <c r="E429" s="12">
        <f t="shared" si="47"/>
        <v>3</v>
      </c>
    </row>
    <row r="430" spans="1:5" ht="14.25" customHeight="1" x14ac:dyDescent="0.3">
      <c r="A430" s="44" t="s">
        <v>306</v>
      </c>
      <c r="B430" s="9">
        <v>180</v>
      </c>
      <c r="C430" s="10">
        <f t="shared" si="46"/>
        <v>3</v>
      </c>
      <c r="D430" s="9">
        <v>1</v>
      </c>
      <c r="E430" s="12">
        <f t="shared" si="47"/>
        <v>3</v>
      </c>
    </row>
    <row r="431" spans="1:5" ht="14.25" customHeight="1" x14ac:dyDescent="0.3">
      <c r="A431" s="44" t="s">
        <v>307</v>
      </c>
      <c r="B431" s="9">
        <v>180</v>
      </c>
      <c r="C431" s="10">
        <f t="shared" si="46"/>
        <v>3</v>
      </c>
      <c r="D431" s="9">
        <v>1</v>
      </c>
      <c r="E431" s="12">
        <f t="shared" si="47"/>
        <v>3</v>
      </c>
    </row>
    <row r="432" spans="1:5" ht="14.25" customHeight="1" x14ac:dyDescent="0.3">
      <c r="A432" s="44" t="s">
        <v>308</v>
      </c>
      <c r="B432" s="9">
        <v>180</v>
      </c>
      <c r="C432" s="10">
        <f t="shared" si="46"/>
        <v>3</v>
      </c>
      <c r="D432" s="9">
        <v>1</v>
      </c>
      <c r="E432" s="12">
        <f t="shared" si="47"/>
        <v>3</v>
      </c>
    </row>
    <row r="433" spans="1:5" ht="14.25" customHeight="1" x14ac:dyDescent="0.3">
      <c r="A433" s="44" t="s">
        <v>309</v>
      </c>
      <c r="B433" s="9">
        <v>180</v>
      </c>
      <c r="C433" s="10">
        <f t="shared" si="46"/>
        <v>3</v>
      </c>
      <c r="D433" s="9">
        <v>1</v>
      </c>
      <c r="E433" s="12">
        <f t="shared" si="47"/>
        <v>3</v>
      </c>
    </row>
    <row r="434" spans="1:5" ht="14.25" customHeight="1" x14ac:dyDescent="0.3">
      <c r="A434" s="44" t="s">
        <v>310</v>
      </c>
      <c r="B434" s="9">
        <v>180</v>
      </c>
      <c r="C434" s="10">
        <f t="shared" si="46"/>
        <v>3</v>
      </c>
      <c r="D434" s="9">
        <v>1</v>
      </c>
      <c r="E434" s="12">
        <f t="shared" si="47"/>
        <v>3</v>
      </c>
    </row>
    <row r="435" spans="1:5" ht="14.25" customHeight="1" x14ac:dyDescent="0.3">
      <c r="A435" s="44" t="s">
        <v>311</v>
      </c>
      <c r="B435" s="9">
        <v>180</v>
      </c>
      <c r="C435" s="10">
        <f t="shared" si="46"/>
        <v>3</v>
      </c>
      <c r="D435" s="9">
        <v>1</v>
      </c>
      <c r="E435" s="12">
        <f t="shared" si="47"/>
        <v>3</v>
      </c>
    </row>
    <row r="436" spans="1:5" ht="14.25" customHeight="1" x14ac:dyDescent="0.3">
      <c r="A436" s="44" t="s">
        <v>312</v>
      </c>
      <c r="B436" s="9">
        <v>180</v>
      </c>
      <c r="C436" s="10">
        <f t="shared" si="46"/>
        <v>3</v>
      </c>
      <c r="D436" s="9">
        <v>1</v>
      </c>
      <c r="E436" s="12">
        <f t="shared" si="47"/>
        <v>3</v>
      </c>
    </row>
    <row r="437" spans="1:5" ht="14.25" customHeight="1" x14ac:dyDescent="0.3">
      <c r="A437" s="44" t="s">
        <v>313</v>
      </c>
      <c r="B437" s="9">
        <v>180</v>
      </c>
      <c r="C437" s="10">
        <f t="shared" si="46"/>
        <v>3</v>
      </c>
      <c r="D437" s="9">
        <v>1</v>
      </c>
      <c r="E437" s="12">
        <f t="shared" si="47"/>
        <v>3</v>
      </c>
    </row>
    <row r="438" spans="1:5" ht="14.25" customHeight="1" x14ac:dyDescent="0.3">
      <c r="A438" s="44" t="s">
        <v>314</v>
      </c>
      <c r="B438" s="9">
        <v>180</v>
      </c>
      <c r="C438" s="10">
        <f t="shared" si="46"/>
        <v>3</v>
      </c>
      <c r="D438" s="9">
        <v>1</v>
      </c>
      <c r="E438" s="12">
        <f t="shared" si="47"/>
        <v>3</v>
      </c>
    </row>
    <row r="439" spans="1:5" ht="14.25" customHeight="1" x14ac:dyDescent="0.3">
      <c r="A439" s="44" t="s">
        <v>315</v>
      </c>
      <c r="B439" s="9">
        <v>180</v>
      </c>
      <c r="C439" s="10">
        <f t="shared" si="46"/>
        <v>3</v>
      </c>
      <c r="D439" s="9">
        <v>1</v>
      </c>
      <c r="E439" s="12">
        <f t="shared" si="47"/>
        <v>3</v>
      </c>
    </row>
    <row r="440" spans="1:5" ht="14.25" customHeight="1" x14ac:dyDescent="0.3">
      <c r="A440" s="44" t="s">
        <v>316</v>
      </c>
      <c r="B440" s="9">
        <v>180</v>
      </c>
      <c r="C440" s="10">
        <f t="shared" si="46"/>
        <v>3</v>
      </c>
      <c r="D440" s="9">
        <v>1</v>
      </c>
      <c r="E440" s="12">
        <f t="shared" si="47"/>
        <v>3</v>
      </c>
    </row>
    <row r="441" spans="1:5" ht="14.25" customHeight="1" x14ac:dyDescent="0.3">
      <c r="A441" s="44" t="s">
        <v>317</v>
      </c>
      <c r="B441" s="9">
        <v>180</v>
      </c>
      <c r="C441" s="10">
        <f t="shared" si="46"/>
        <v>3</v>
      </c>
      <c r="D441" s="9">
        <v>1</v>
      </c>
      <c r="E441" s="12">
        <f t="shared" si="47"/>
        <v>3</v>
      </c>
    </row>
    <row r="442" spans="1:5" ht="14.25" customHeight="1" x14ac:dyDescent="0.3">
      <c r="A442" s="44" t="s">
        <v>318</v>
      </c>
      <c r="B442" s="9">
        <v>180</v>
      </c>
      <c r="C442" s="10">
        <f t="shared" si="46"/>
        <v>3</v>
      </c>
      <c r="D442" s="9">
        <v>1</v>
      </c>
      <c r="E442" s="12">
        <f t="shared" si="47"/>
        <v>3</v>
      </c>
    </row>
    <row r="443" spans="1:5" ht="14.25" customHeight="1" x14ac:dyDescent="0.3">
      <c r="A443" s="44" t="s">
        <v>319</v>
      </c>
      <c r="B443" s="9">
        <v>540</v>
      </c>
      <c r="C443" s="10">
        <f t="shared" si="46"/>
        <v>9</v>
      </c>
      <c r="D443" s="9">
        <v>4</v>
      </c>
      <c r="E443" s="12">
        <f t="shared" si="47"/>
        <v>36</v>
      </c>
    </row>
    <row r="444" spans="1:5" ht="14.25" customHeight="1" x14ac:dyDescent="0.3">
      <c r="A444" s="44" t="s">
        <v>320</v>
      </c>
      <c r="B444" s="9">
        <v>720</v>
      </c>
      <c r="C444" s="10">
        <f t="shared" si="46"/>
        <v>12</v>
      </c>
      <c r="D444" s="9">
        <v>2</v>
      </c>
      <c r="E444" s="12">
        <f t="shared" si="47"/>
        <v>24</v>
      </c>
    </row>
    <row r="445" spans="1:5" ht="14.25" customHeight="1" x14ac:dyDescent="0.3">
      <c r="A445" s="44" t="s">
        <v>321</v>
      </c>
      <c r="B445" s="9">
        <v>720</v>
      </c>
      <c r="C445" s="10">
        <f t="shared" si="46"/>
        <v>12</v>
      </c>
      <c r="D445" s="9">
        <v>2</v>
      </c>
      <c r="E445" s="12">
        <f t="shared" si="47"/>
        <v>24</v>
      </c>
    </row>
    <row r="446" spans="1:5" ht="14.25" customHeight="1" x14ac:dyDescent="0.3">
      <c r="A446" s="44" t="s">
        <v>322</v>
      </c>
      <c r="B446" s="9">
        <v>1650</v>
      </c>
      <c r="C446" s="10">
        <f t="shared" si="46"/>
        <v>27.5</v>
      </c>
      <c r="D446" s="9">
        <v>2</v>
      </c>
      <c r="E446" s="12">
        <f t="shared" si="47"/>
        <v>55</v>
      </c>
    </row>
    <row r="447" spans="1:5" ht="14.25" customHeight="1" x14ac:dyDescent="0.3">
      <c r="A447" s="44" t="s">
        <v>109</v>
      </c>
      <c r="B447" s="9">
        <v>360</v>
      </c>
      <c r="C447" s="10">
        <f t="shared" si="46"/>
        <v>6</v>
      </c>
      <c r="D447" s="9">
        <v>4</v>
      </c>
      <c r="E447" s="12">
        <f t="shared" si="47"/>
        <v>24</v>
      </c>
    </row>
    <row r="448" spans="1:5" ht="14.25" customHeight="1" x14ac:dyDescent="0.3">
      <c r="A448" s="44" t="s">
        <v>110</v>
      </c>
      <c r="B448" s="9">
        <v>360</v>
      </c>
      <c r="C448" s="10">
        <f t="shared" si="46"/>
        <v>6</v>
      </c>
      <c r="D448" s="9">
        <v>12</v>
      </c>
      <c r="E448" s="12">
        <f t="shared" si="47"/>
        <v>72</v>
      </c>
    </row>
    <row r="449" spans="1:5" ht="14.25" customHeight="1" x14ac:dyDescent="0.3">
      <c r="A449" s="44" t="s">
        <v>111</v>
      </c>
      <c r="B449" s="9">
        <v>360</v>
      </c>
      <c r="C449" s="10">
        <f t="shared" si="46"/>
        <v>6</v>
      </c>
      <c r="D449" s="9">
        <v>2</v>
      </c>
      <c r="E449" s="12">
        <f t="shared" si="47"/>
        <v>12</v>
      </c>
    </row>
    <row r="450" spans="1:5" ht="14.25" customHeight="1" x14ac:dyDescent="0.4">
      <c r="A450" s="13" t="s">
        <v>12</v>
      </c>
      <c r="B450" s="22"/>
      <c r="C450" s="22"/>
      <c r="D450" s="23"/>
      <c r="E450" s="45">
        <f>SUM(E386:E449)</f>
        <v>2135.5</v>
      </c>
    </row>
    <row r="451" spans="1:5" ht="14.25" customHeight="1" x14ac:dyDescent="0.4">
      <c r="B451" s="3"/>
      <c r="C451" s="2"/>
      <c r="D451" s="3"/>
      <c r="E451" s="3"/>
    </row>
    <row r="452" spans="1:5" ht="14.25" customHeight="1" x14ac:dyDescent="0.3">
      <c r="A452" s="25" t="s">
        <v>323</v>
      </c>
      <c r="B452" s="22"/>
      <c r="C452" s="22"/>
      <c r="D452" s="22"/>
      <c r="E452" s="23"/>
    </row>
    <row r="453" spans="1:5" ht="14.25" customHeight="1" x14ac:dyDescent="0.3">
      <c r="A453" s="8" t="s">
        <v>1</v>
      </c>
      <c r="B453" s="9" t="s">
        <v>2</v>
      </c>
      <c r="C453" s="10" t="s">
        <v>3</v>
      </c>
      <c r="D453" s="9" t="s">
        <v>4</v>
      </c>
      <c r="E453" s="9" t="s">
        <v>5</v>
      </c>
    </row>
    <row r="454" spans="1:5" ht="14.25" customHeight="1" x14ac:dyDescent="0.3">
      <c r="A454" s="44" t="s">
        <v>55</v>
      </c>
      <c r="B454" s="9">
        <v>67.5</v>
      </c>
      <c r="C454" s="10">
        <f t="shared" ref="C454:C464" si="48">B454/60</f>
        <v>1.125</v>
      </c>
      <c r="D454" s="9">
        <v>365</v>
      </c>
      <c r="E454" s="12">
        <f t="shared" ref="E454:E464" si="49">D454*C454</f>
        <v>410.625</v>
      </c>
    </row>
    <row r="455" spans="1:5" ht="14.25" customHeight="1" x14ac:dyDescent="0.3">
      <c r="A455" s="44" t="s">
        <v>324</v>
      </c>
      <c r="B455" s="9">
        <v>450</v>
      </c>
      <c r="C455" s="10">
        <f t="shared" si="48"/>
        <v>7.5</v>
      </c>
      <c r="D455" s="9">
        <v>12</v>
      </c>
      <c r="E455" s="12">
        <f t="shared" si="49"/>
        <v>90</v>
      </c>
    </row>
    <row r="456" spans="1:5" ht="14.25" customHeight="1" x14ac:dyDescent="0.3">
      <c r="A456" s="44" t="s">
        <v>325</v>
      </c>
      <c r="B456" s="9">
        <v>180</v>
      </c>
      <c r="C456" s="10">
        <f t="shared" si="48"/>
        <v>3</v>
      </c>
      <c r="D456" s="9">
        <v>6</v>
      </c>
      <c r="E456" s="12">
        <f t="shared" si="49"/>
        <v>18</v>
      </c>
    </row>
    <row r="457" spans="1:5" ht="14.25" customHeight="1" x14ac:dyDescent="0.3">
      <c r="A457" s="44" t="s">
        <v>326</v>
      </c>
      <c r="B457" s="9">
        <v>1710</v>
      </c>
      <c r="C457" s="10">
        <f t="shared" si="48"/>
        <v>28.5</v>
      </c>
      <c r="D457" s="9">
        <v>4</v>
      </c>
      <c r="E457" s="12">
        <f t="shared" si="49"/>
        <v>114</v>
      </c>
    </row>
    <row r="458" spans="1:5" ht="14.25" customHeight="1" x14ac:dyDescent="0.3">
      <c r="A458" s="44" t="s">
        <v>327</v>
      </c>
      <c r="B458" s="9">
        <v>1012.5</v>
      </c>
      <c r="C458" s="10">
        <f t="shared" si="48"/>
        <v>16.875</v>
      </c>
      <c r="D458" s="9">
        <v>2</v>
      </c>
      <c r="E458" s="12">
        <f t="shared" si="49"/>
        <v>33.75</v>
      </c>
    </row>
    <row r="459" spans="1:5" ht="14.25" customHeight="1" x14ac:dyDescent="0.3">
      <c r="A459" s="44" t="s">
        <v>328</v>
      </c>
      <c r="B459" s="9">
        <v>1057.5</v>
      </c>
      <c r="C459" s="10">
        <f t="shared" si="48"/>
        <v>17.625</v>
      </c>
      <c r="D459" s="9">
        <v>1</v>
      </c>
      <c r="E459" s="12">
        <f t="shared" si="49"/>
        <v>17.625</v>
      </c>
    </row>
    <row r="460" spans="1:5" ht="14.25" customHeight="1" x14ac:dyDescent="0.3">
      <c r="A460" s="44" t="s">
        <v>329</v>
      </c>
      <c r="B460" s="9">
        <v>112.5</v>
      </c>
      <c r="C460" s="10">
        <f t="shared" si="48"/>
        <v>1.875</v>
      </c>
      <c r="D460" s="9">
        <v>1</v>
      </c>
      <c r="E460" s="12">
        <f t="shared" si="49"/>
        <v>1.875</v>
      </c>
    </row>
    <row r="461" spans="1:5" ht="14.25" customHeight="1" x14ac:dyDescent="0.4">
      <c r="A461" s="44" t="s">
        <v>330</v>
      </c>
      <c r="B461" s="9">
        <v>97.5</v>
      </c>
      <c r="C461" s="10">
        <f t="shared" si="48"/>
        <v>1.625</v>
      </c>
      <c r="D461" s="46">
        <v>32</v>
      </c>
      <c r="E461" s="12">
        <f t="shared" si="49"/>
        <v>52</v>
      </c>
    </row>
    <row r="462" spans="1:5" ht="14.25" customHeight="1" x14ac:dyDescent="0.4">
      <c r="A462" s="44" t="s">
        <v>331</v>
      </c>
      <c r="B462" s="9">
        <v>210</v>
      </c>
      <c r="C462" s="10">
        <f t="shared" si="48"/>
        <v>3.5</v>
      </c>
      <c r="D462" s="46">
        <v>16</v>
      </c>
      <c r="E462" s="12">
        <f t="shared" si="49"/>
        <v>56</v>
      </c>
    </row>
    <row r="463" spans="1:5" ht="14.25" customHeight="1" x14ac:dyDescent="0.4">
      <c r="A463" s="44" t="s">
        <v>332</v>
      </c>
      <c r="B463" s="9">
        <v>232.5</v>
      </c>
      <c r="C463" s="10">
        <f t="shared" si="48"/>
        <v>3.875</v>
      </c>
      <c r="D463" s="46">
        <v>8</v>
      </c>
      <c r="E463" s="12">
        <f t="shared" si="49"/>
        <v>31</v>
      </c>
    </row>
    <row r="464" spans="1:5" ht="14.25" customHeight="1" x14ac:dyDescent="0.4">
      <c r="A464" s="44" t="s">
        <v>333</v>
      </c>
      <c r="B464" s="9">
        <v>577.5</v>
      </c>
      <c r="C464" s="10">
        <f t="shared" si="48"/>
        <v>9.625</v>
      </c>
      <c r="D464" s="46">
        <v>4</v>
      </c>
      <c r="E464" s="12">
        <f t="shared" si="49"/>
        <v>38.5</v>
      </c>
    </row>
    <row r="465" spans="1:5" ht="14.25" customHeight="1" x14ac:dyDescent="0.4">
      <c r="A465" s="13" t="s">
        <v>12</v>
      </c>
      <c r="B465" s="22"/>
      <c r="C465" s="22"/>
      <c r="D465" s="23"/>
      <c r="E465" s="45">
        <f>SUM(E454:E464)</f>
        <v>863.375</v>
      </c>
    </row>
    <row r="466" spans="1:5" ht="14.25" customHeight="1" x14ac:dyDescent="0.4">
      <c r="B466" s="3"/>
      <c r="C466" s="2"/>
      <c r="D466" s="3"/>
      <c r="E466" s="3"/>
    </row>
    <row r="467" spans="1:5" ht="14.25" customHeight="1" x14ac:dyDescent="0.3">
      <c r="A467" s="25" t="s">
        <v>334</v>
      </c>
      <c r="B467" s="22"/>
      <c r="C467" s="22"/>
      <c r="D467" s="22"/>
      <c r="E467" s="23"/>
    </row>
    <row r="468" spans="1:5" ht="14.25" customHeight="1" x14ac:dyDescent="0.3">
      <c r="A468" s="8" t="s">
        <v>1</v>
      </c>
      <c r="B468" s="9" t="s">
        <v>2</v>
      </c>
      <c r="C468" s="10" t="s">
        <v>3</v>
      </c>
      <c r="D468" s="9" t="s">
        <v>4</v>
      </c>
      <c r="E468" s="9" t="s">
        <v>5</v>
      </c>
    </row>
    <row r="469" spans="1:5" ht="14.25" customHeight="1" x14ac:dyDescent="0.3">
      <c r="A469" s="44" t="s">
        <v>55</v>
      </c>
      <c r="B469" s="9">
        <v>67.5</v>
      </c>
      <c r="C469" s="10">
        <f t="shared" ref="C469:C475" si="50">B469/60</f>
        <v>1.125</v>
      </c>
      <c r="D469" s="9">
        <v>365</v>
      </c>
      <c r="E469" s="12">
        <f t="shared" ref="E469:E475" si="51">D469*C469</f>
        <v>410.625</v>
      </c>
    </row>
    <row r="470" spans="1:5" ht="14.25" customHeight="1" x14ac:dyDescent="0.3">
      <c r="A470" s="44" t="s">
        <v>324</v>
      </c>
      <c r="B470" s="9">
        <v>450</v>
      </c>
      <c r="C470" s="10">
        <f t="shared" si="50"/>
        <v>7.5</v>
      </c>
      <c r="D470" s="9">
        <v>12</v>
      </c>
      <c r="E470" s="12">
        <f t="shared" si="51"/>
        <v>90</v>
      </c>
    </row>
    <row r="471" spans="1:5" ht="14.25" customHeight="1" x14ac:dyDescent="0.3">
      <c r="A471" s="44" t="s">
        <v>325</v>
      </c>
      <c r="B471" s="9">
        <v>180</v>
      </c>
      <c r="C471" s="10">
        <f t="shared" si="50"/>
        <v>3</v>
      </c>
      <c r="D471" s="9">
        <v>6</v>
      </c>
      <c r="E471" s="12">
        <f t="shared" si="51"/>
        <v>18</v>
      </c>
    </row>
    <row r="472" spans="1:5" ht="14.25" customHeight="1" x14ac:dyDescent="0.3">
      <c r="A472" s="44" t="s">
        <v>326</v>
      </c>
      <c r="B472" s="9">
        <v>1710</v>
      </c>
      <c r="C472" s="10">
        <f t="shared" si="50"/>
        <v>28.5</v>
      </c>
      <c r="D472" s="9">
        <v>4</v>
      </c>
      <c r="E472" s="12">
        <f t="shared" si="51"/>
        <v>114</v>
      </c>
    </row>
    <row r="473" spans="1:5" ht="14.25" customHeight="1" x14ac:dyDescent="0.3">
      <c r="A473" s="44" t="s">
        <v>327</v>
      </c>
      <c r="B473" s="9">
        <v>1012.5</v>
      </c>
      <c r="C473" s="10">
        <f t="shared" si="50"/>
        <v>16.875</v>
      </c>
      <c r="D473" s="9">
        <v>2</v>
      </c>
      <c r="E473" s="12">
        <f t="shared" si="51"/>
        <v>33.75</v>
      </c>
    </row>
    <row r="474" spans="1:5" ht="14.25" customHeight="1" x14ac:dyDescent="0.3">
      <c r="A474" s="44" t="s">
        <v>328</v>
      </c>
      <c r="B474" s="9">
        <v>1057.5</v>
      </c>
      <c r="C474" s="10">
        <f t="shared" si="50"/>
        <v>17.625</v>
      </c>
      <c r="D474" s="9">
        <v>1</v>
      </c>
      <c r="E474" s="12">
        <f t="shared" si="51"/>
        <v>17.625</v>
      </c>
    </row>
    <row r="475" spans="1:5" ht="14.25" customHeight="1" x14ac:dyDescent="0.3">
      <c r="A475" s="44" t="s">
        <v>329</v>
      </c>
      <c r="B475" s="9">
        <v>112.5</v>
      </c>
      <c r="C475" s="10">
        <f t="shared" si="50"/>
        <v>1.875</v>
      </c>
      <c r="D475" s="9">
        <v>1</v>
      </c>
      <c r="E475" s="12">
        <f t="shared" si="51"/>
        <v>1.875</v>
      </c>
    </row>
    <row r="476" spans="1:5" ht="14.25" customHeight="1" x14ac:dyDescent="0.4">
      <c r="A476" s="13" t="s">
        <v>12</v>
      </c>
      <c r="B476" s="22"/>
      <c r="C476" s="22"/>
      <c r="D476" s="23"/>
      <c r="E476" s="45">
        <f>SUM(E469:E475)</f>
        <v>685.875</v>
      </c>
    </row>
    <row r="477" spans="1:5" ht="14.25" customHeight="1" x14ac:dyDescent="0.4">
      <c r="B477" s="3"/>
      <c r="C477" s="2"/>
      <c r="D477" s="3"/>
      <c r="E477" s="47">
        <f>((E465-E476)/E465)*100%</f>
        <v>0.2055885333719415</v>
      </c>
    </row>
    <row r="478" spans="1:5" ht="14.25" customHeight="1" x14ac:dyDescent="0.4">
      <c r="B478" s="3"/>
      <c r="C478" s="2"/>
      <c r="D478" s="3"/>
      <c r="E478" s="3"/>
    </row>
    <row r="479" spans="1:5" ht="14.25" customHeight="1" x14ac:dyDescent="0.3">
      <c r="A479" s="25" t="s">
        <v>335</v>
      </c>
      <c r="B479" s="22"/>
      <c r="C479" s="22"/>
      <c r="D479" s="22"/>
      <c r="E479" s="23"/>
    </row>
    <row r="480" spans="1:5" ht="14.25" customHeight="1" x14ac:dyDescent="0.3">
      <c r="A480" s="8" t="s">
        <v>1</v>
      </c>
      <c r="B480" s="9" t="s">
        <v>2</v>
      </c>
      <c r="C480" s="10" t="s">
        <v>3</v>
      </c>
      <c r="D480" s="9" t="s">
        <v>4</v>
      </c>
      <c r="E480" s="9" t="s">
        <v>5</v>
      </c>
    </row>
    <row r="481" spans="1:6" ht="14.25" customHeight="1" x14ac:dyDescent="0.3">
      <c r="A481" s="11" t="s">
        <v>336</v>
      </c>
      <c r="B481" s="9">
        <v>150</v>
      </c>
      <c r="C481" s="10">
        <f t="shared" ref="C481:C491" si="52">B481/60</f>
        <v>2.5</v>
      </c>
      <c r="D481" s="9">
        <v>365</v>
      </c>
      <c r="E481" s="12">
        <f t="shared" ref="E481:E491" si="53">D481*C481</f>
        <v>912.5</v>
      </c>
    </row>
    <row r="482" spans="1:6" ht="14.25" customHeight="1" x14ac:dyDescent="0.3">
      <c r="A482" s="11" t="s">
        <v>337</v>
      </c>
      <c r="B482" s="9">
        <v>285</v>
      </c>
      <c r="C482" s="10">
        <f t="shared" si="52"/>
        <v>4.75</v>
      </c>
      <c r="D482" s="9">
        <v>12</v>
      </c>
      <c r="E482" s="12">
        <f t="shared" si="53"/>
        <v>57</v>
      </c>
      <c r="F482" s="28">
        <v>12</v>
      </c>
    </row>
    <row r="483" spans="1:6" ht="14.25" customHeight="1" x14ac:dyDescent="0.3">
      <c r="A483" s="11" t="s">
        <v>338</v>
      </c>
      <c r="B483" s="9">
        <v>180</v>
      </c>
      <c r="C483" s="10">
        <f t="shared" si="52"/>
        <v>3</v>
      </c>
      <c r="D483" s="9">
        <v>6</v>
      </c>
      <c r="E483" s="12">
        <f t="shared" si="53"/>
        <v>18</v>
      </c>
      <c r="F483" s="28">
        <v>6</v>
      </c>
    </row>
    <row r="484" spans="1:6" ht="14.25" customHeight="1" x14ac:dyDescent="0.3">
      <c r="A484" s="11" t="s">
        <v>339</v>
      </c>
      <c r="B484" s="9">
        <v>187.5</v>
      </c>
      <c r="C484" s="10">
        <f t="shared" si="52"/>
        <v>3.125</v>
      </c>
      <c r="D484" s="9">
        <v>6</v>
      </c>
      <c r="E484" s="12">
        <f t="shared" si="53"/>
        <v>18.75</v>
      </c>
      <c r="F484" s="28">
        <v>6</v>
      </c>
    </row>
    <row r="485" spans="1:6" ht="14.25" customHeight="1" x14ac:dyDescent="0.3">
      <c r="A485" s="11" t="s">
        <v>340</v>
      </c>
      <c r="B485" s="9">
        <v>360</v>
      </c>
      <c r="C485" s="10">
        <f t="shared" si="52"/>
        <v>6</v>
      </c>
      <c r="D485" s="9">
        <v>4</v>
      </c>
      <c r="E485" s="12">
        <f t="shared" si="53"/>
        <v>24</v>
      </c>
      <c r="F485" s="28">
        <v>4</v>
      </c>
    </row>
    <row r="486" spans="1:6" ht="14.25" customHeight="1" x14ac:dyDescent="0.3">
      <c r="A486" s="11" t="s">
        <v>341</v>
      </c>
      <c r="B486" s="9">
        <v>1650</v>
      </c>
      <c r="C486" s="10">
        <f t="shared" si="52"/>
        <v>27.5</v>
      </c>
      <c r="D486" s="9">
        <v>4</v>
      </c>
      <c r="E486" s="12">
        <f t="shared" si="53"/>
        <v>110</v>
      </c>
      <c r="F486" s="28">
        <v>4</v>
      </c>
    </row>
    <row r="487" spans="1:6" ht="14.25" customHeight="1" x14ac:dyDescent="0.3">
      <c r="A487" s="11" t="s">
        <v>342</v>
      </c>
      <c r="B487" s="9">
        <v>180</v>
      </c>
      <c r="C487" s="10">
        <f t="shared" si="52"/>
        <v>3</v>
      </c>
      <c r="D487" s="9">
        <v>4</v>
      </c>
      <c r="E487" s="12">
        <f t="shared" si="53"/>
        <v>12</v>
      </c>
      <c r="F487" s="28">
        <v>4</v>
      </c>
    </row>
    <row r="488" spans="1:6" ht="14.25" customHeight="1" x14ac:dyDescent="0.3">
      <c r="A488" s="11" t="s">
        <v>343</v>
      </c>
      <c r="B488" s="9">
        <v>450</v>
      </c>
      <c r="C488" s="10">
        <f t="shared" si="52"/>
        <v>7.5</v>
      </c>
      <c r="D488" s="9">
        <v>1</v>
      </c>
      <c r="E488" s="12">
        <f t="shared" si="53"/>
        <v>7.5</v>
      </c>
      <c r="F488" s="28">
        <v>1</v>
      </c>
    </row>
    <row r="489" spans="1:6" ht="14.25" customHeight="1" x14ac:dyDescent="0.3">
      <c r="A489" s="11" t="s">
        <v>344</v>
      </c>
      <c r="B489" s="9">
        <v>180</v>
      </c>
      <c r="C489" s="10">
        <f t="shared" si="52"/>
        <v>3</v>
      </c>
      <c r="D489" s="9">
        <v>1</v>
      </c>
      <c r="E489" s="12">
        <f t="shared" si="53"/>
        <v>3</v>
      </c>
      <c r="F489" s="28">
        <v>1</v>
      </c>
    </row>
    <row r="490" spans="1:6" ht="14.25" customHeight="1" x14ac:dyDescent="0.3">
      <c r="A490" s="11" t="s">
        <v>345</v>
      </c>
      <c r="B490" s="9">
        <v>720</v>
      </c>
      <c r="C490" s="10">
        <f t="shared" si="52"/>
        <v>12</v>
      </c>
      <c r="D490" s="9">
        <v>1</v>
      </c>
      <c r="E490" s="12">
        <f t="shared" si="53"/>
        <v>12</v>
      </c>
      <c r="F490" s="28">
        <v>1</v>
      </c>
    </row>
    <row r="491" spans="1:6" ht="14.25" customHeight="1" x14ac:dyDescent="0.3">
      <c r="A491" s="11" t="s">
        <v>346</v>
      </c>
      <c r="B491" s="9">
        <v>570</v>
      </c>
      <c r="C491" s="10">
        <f t="shared" si="52"/>
        <v>9.5</v>
      </c>
      <c r="D491" s="9">
        <v>1</v>
      </c>
      <c r="E491" s="12">
        <f t="shared" si="53"/>
        <v>9.5</v>
      </c>
      <c r="F491" s="28">
        <v>1</v>
      </c>
    </row>
    <row r="492" spans="1:6" ht="14.25" customHeight="1" x14ac:dyDescent="0.3">
      <c r="A492" s="13" t="s">
        <v>12</v>
      </c>
      <c r="B492" s="22"/>
      <c r="C492" s="22"/>
      <c r="D492" s="23"/>
      <c r="E492" s="48">
        <f>SUM(E481:E491)</f>
        <v>1184.25</v>
      </c>
    </row>
    <row r="493" spans="1:6" ht="14.25" customHeight="1" x14ac:dyDescent="0.4">
      <c r="B493" s="3"/>
      <c r="C493" s="2"/>
      <c r="D493" s="3"/>
      <c r="E493" s="3"/>
    </row>
    <row r="494" spans="1:6" ht="14.25" customHeight="1" x14ac:dyDescent="0.4">
      <c r="B494" s="3"/>
      <c r="C494" s="2"/>
      <c r="D494" s="3"/>
      <c r="E494" s="3"/>
    </row>
    <row r="495" spans="1:6" ht="14.25" customHeight="1" x14ac:dyDescent="0.4">
      <c r="B495" s="3"/>
      <c r="C495" s="2"/>
      <c r="D495" s="3"/>
      <c r="E495" s="3"/>
    </row>
    <row r="496" spans="1:6" ht="14.25" customHeight="1" x14ac:dyDescent="0.4">
      <c r="B496" s="3"/>
      <c r="C496" s="2"/>
      <c r="D496" s="3"/>
      <c r="E496" s="3"/>
    </row>
    <row r="497" spans="2:5" ht="14.25" customHeight="1" x14ac:dyDescent="0.4">
      <c r="B497" s="3"/>
      <c r="C497" s="2"/>
      <c r="D497" s="3"/>
      <c r="E497" s="3"/>
    </row>
    <row r="498" spans="2:5" ht="14.25" customHeight="1" x14ac:dyDescent="0.4">
      <c r="B498" s="3"/>
      <c r="C498" s="2"/>
      <c r="D498" s="3"/>
      <c r="E498" s="3"/>
    </row>
    <row r="499" spans="2:5" ht="14.25" customHeight="1" x14ac:dyDescent="0.4">
      <c r="B499" s="3"/>
      <c r="C499" s="2"/>
      <c r="D499" s="3"/>
      <c r="E499" s="3"/>
    </row>
    <row r="500" spans="2:5" ht="14.25" customHeight="1" x14ac:dyDescent="0.4">
      <c r="B500" s="3"/>
      <c r="C500" s="2"/>
      <c r="D500" s="3"/>
      <c r="E500" s="3"/>
    </row>
    <row r="501" spans="2:5" ht="14.25" customHeight="1" x14ac:dyDescent="0.4">
      <c r="B501" s="3"/>
      <c r="C501" s="2"/>
      <c r="D501" s="3"/>
      <c r="E501" s="3"/>
    </row>
    <row r="502" spans="2:5" ht="14.25" customHeight="1" x14ac:dyDescent="0.4">
      <c r="B502" s="3"/>
      <c r="C502" s="2"/>
      <c r="D502" s="3"/>
      <c r="E502" s="3"/>
    </row>
    <row r="503" spans="2:5" ht="14.25" customHeight="1" x14ac:dyDescent="0.4">
      <c r="B503" s="3"/>
      <c r="C503" s="2"/>
      <c r="D503" s="3"/>
      <c r="E503" s="3"/>
    </row>
    <row r="504" spans="2:5" ht="14.25" customHeight="1" x14ac:dyDescent="0.4">
      <c r="B504" s="3"/>
      <c r="C504" s="2"/>
      <c r="D504" s="3"/>
      <c r="E504" s="3"/>
    </row>
    <row r="505" spans="2:5" ht="14.25" customHeight="1" x14ac:dyDescent="0.4">
      <c r="B505" s="3"/>
      <c r="C505" s="2"/>
      <c r="D505" s="3"/>
      <c r="E505" s="3"/>
    </row>
    <row r="506" spans="2:5" ht="14.25" customHeight="1" x14ac:dyDescent="0.4">
      <c r="B506" s="3"/>
      <c r="C506" s="2"/>
      <c r="D506" s="3"/>
      <c r="E506" s="3"/>
    </row>
    <row r="507" spans="2:5" ht="14.25" customHeight="1" x14ac:dyDescent="0.4">
      <c r="B507" s="3"/>
      <c r="C507" s="2"/>
      <c r="D507" s="3"/>
      <c r="E507" s="3"/>
    </row>
    <row r="508" spans="2:5" ht="14.25" customHeight="1" x14ac:dyDescent="0.4">
      <c r="B508" s="3"/>
      <c r="C508" s="2"/>
      <c r="D508" s="3"/>
      <c r="E508" s="3"/>
    </row>
    <row r="509" spans="2:5" ht="14.25" customHeight="1" x14ac:dyDescent="0.4">
      <c r="B509" s="3"/>
      <c r="C509" s="2"/>
      <c r="D509" s="3"/>
      <c r="E509" s="3"/>
    </row>
    <row r="510" spans="2:5" ht="14.25" customHeight="1" x14ac:dyDescent="0.4">
      <c r="B510" s="3"/>
      <c r="C510" s="2"/>
      <c r="D510" s="3"/>
      <c r="E510" s="3"/>
    </row>
    <row r="511" spans="2:5" ht="14.25" customHeight="1" x14ac:dyDescent="0.4">
      <c r="B511" s="3"/>
      <c r="C511" s="2"/>
      <c r="D511" s="3"/>
      <c r="E511" s="3"/>
    </row>
    <row r="512" spans="2:5" ht="14.25" customHeight="1" x14ac:dyDescent="0.4">
      <c r="B512" s="3"/>
      <c r="C512" s="2"/>
      <c r="D512" s="3"/>
      <c r="E512" s="3"/>
    </row>
    <row r="513" spans="2:5" ht="14.25" customHeight="1" x14ac:dyDescent="0.4">
      <c r="B513" s="3"/>
      <c r="C513" s="2"/>
      <c r="D513" s="3"/>
      <c r="E513" s="3"/>
    </row>
    <row r="514" spans="2:5" ht="14.25" customHeight="1" x14ac:dyDescent="0.4">
      <c r="B514" s="3"/>
      <c r="C514" s="2"/>
      <c r="D514" s="3"/>
      <c r="E514" s="3"/>
    </row>
    <row r="515" spans="2:5" ht="14.25" customHeight="1" x14ac:dyDescent="0.4">
      <c r="B515" s="3"/>
      <c r="C515" s="2"/>
      <c r="D515" s="3"/>
      <c r="E515" s="3"/>
    </row>
    <row r="516" spans="2:5" ht="14.25" customHeight="1" x14ac:dyDescent="0.4">
      <c r="B516" s="3"/>
      <c r="C516" s="2"/>
      <c r="D516" s="3"/>
      <c r="E516" s="3"/>
    </row>
    <row r="517" spans="2:5" ht="14.25" customHeight="1" x14ac:dyDescent="0.4">
      <c r="B517" s="3"/>
      <c r="C517" s="2"/>
      <c r="D517" s="3"/>
      <c r="E517" s="3"/>
    </row>
    <row r="518" spans="2:5" ht="14.25" customHeight="1" x14ac:dyDescent="0.4">
      <c r="B518" s="3"/>
      <c r="C518" s="2"/>
      <c r="D518" s="3"/>
      <c r="E518" s="3"/>
    </row>
    <row r="519" spans="2:5" ht="14.25" customHeight="1" x14ac:dyDescent="0.4">
      <c r="B519" s="3"/>
      <c r="C519" s="2"/>
      <c r="D519" s="3"/>
      <c r="E519" s="3"/>
    </row>
    <row r="520" spans="2:5" ht="14.25" customHeight="1" x14ac:dyDescent="0.4">
      <c r="B520" s="3"/>
      <c r="C520" s="2"/>
      <c r="D520" s="3"/>
      <c r="E520" s="3"/>
    </row>
    <row r="521" spans="2:5" ht="14.25" customHeight="1" x14ac:dyDescent="0.4">
      <c r="B521" s="3"/>
      <c r="C521" s="2"/>
      <c r="D521" s="3"/>
      <c r="E521" s="3"/>
    </row>
    <row r="522" spans="2:5" ht="14.25" customHeight="1" x14ac:dyDescent="0.4">
      <c r="B522" s="3"/>
      <c r="C522" s="2"/>
      <c r="D522" s="3"/>
      <c r="E522" s="3"/>
    </row>
    <row r="523" spans="2:5" ht="14.25" customHeight="1" x14ac:dyDescent="0.4">
      <c r="B523" s="3"/>
      <c r="C523" s="2"/>
      <c r="D523" s="3"/>
      <c r="E523" s="3"/>
    </row>
    <row r="524" spans="2:5" ht="14.25" customHeight="1" x14ac:dyDescent="0.4">
      <c r="B524" s="3"/>
      <c r="C524" s="2"/>
      <c r="D524" s="3"/>
      <c r="E524" s="3"/>
    </row>
    <row r="525" spans="2:5" ht="14.25" customHeight="1" x14ac:dyDescent="0.4">
      <c r="B525" s="3"/>
      <c r="C525" s="2"/>
      <c r="D525" s="3"/>
      <c r="E525" s="3"/>
    </row>
    <row r="526" spans="2:5" ht="14.25" customHeight="1" x14ac:dyDescent="0.4">
      <c r="B526" s="3"/>
      <c r="C526" s="2"/>
      <c r="D526" s="3"/>
      <c r="E526" s="3"/>
    </row>
    <row r="527" spans="2:5" ht="14.25" customHeight="1" x14ac:dyDescent="0.4">
      <c r="B527" s="3"/>
      <c r="C527" s="2"/>
      <c r="D527" s="3"/>
      <c r="E527" s="3"/>
    </row>
    <row r="528" spans="2:5" ht="14.25" customHeight="1" x14ac:dyDescent="0.4">
      <c r="B528" s="3"/>
      <c r="C528" s="2"/>
      <c r="D528" s="3"/>
      <c r="E528" s="3"/>
    </row>
    <row r="529" spans="2:5" ht="14.25" customHeight="1" x14ac:dyDescent="0.4">
      <c r="B529" s="3"/>
      <c r="C529" s="2"/>
      <c r="D529" s="3"/>
      <c r="E529" s="3"/>
    </row>
    <row r="530" spans="2:5" ht="14.25" customHeight="1" x14ac:dyDescent="0.4">
      <c r="B530" s="3"/>
      <c r="C530" s="2"/>
      <c r="D530" s="3"/>
      <c r="E530" s="3"/>
    </row>
    <row r="531" spans="2:5" ht="14.25" customHeight="1" x14ac:dyDescent="0.4">
      <c r="B531" s="3"/>
      <c r="C531" s="2"/>
      <c r="D531" s="3"/>
      <c r="E531" s="3"/>
    </row>
    <row r="532" spans="2:5" ht="14.25" customHeight="1" x14ac:dyDescent="0.4">
      <c r="B532" s="3"/>
      <c r="C532" s="2"/>
      <c r="D532" s="3"/>
      <c r="E532" s="3"/>
    </row>
    <row r="533" spans="2:5" ht="14.25" customHeight="1" x14ac:dyDescent="0.4">
      <c r="B533" s="3"/>
      <c r="C533" s="2"/>
      <c r="D533" s="3"/>
      <c r="E533" s="3"/>
    </row>
    <row r="534" spans="2:5" ht="14.25" customHeight="1" x14ac:dyDescent="0.4">
      <c r="B534" s="3"/>
      <c r="C534" s="2"/>
      <c r="D534" s="3"/>
      <c r="E534" s="3"/>
    </row>
    <row r="535" spans="2:5" ht="14.25" customHeight="1" x14ac:dyDescent="0.4">
      <c r="B535" s="3"/>
      <c r="C535" s="2"/>
      <c r="D535" s="3"/>
      <c r="E535" s="3"/>
    </row>
    <row r="536" spans="2:5" ht="14.25" customHeight="1" x14ac:dyDescent="0.4">
      <c r="B536" s="3"/>
      <c r="C536" s="2"/>
      <c r="D536" s="3"/>
      <c r="E536" s="3"/>
    </row>
    <row r="537" spans="2:5" ht="14.25" customHeight="1" x14ac:dyDescent="0.4">
      <c r="B537" s="3"/>
      <c r="C537" s="2"/>
      <c r="D537" s="3"/>
      <c r="E537" s="3"/>
    </row>
    <row r="538" spans="2:5" ht="14.25" customHeight="1" x14ac:dyDescent="0.4">
      <c r="B538" s="3"/>
      <c r="C538" s="2"/>
      <c r="D538" s="3"/>
      <c r="E538" s="3"/>
    </row>
    <row r="539" spans="2:5" ht="14.25" customHeight="1" x14ac:dyDescent="0.4">
      <c r="B539" s="3"/>
      <c r="C539" s="2"/>
      <c r="D539" s="3"/>
      <c r="E539" s="3"/>
    </row>
    <row r="540" spans="2:5" ht="14.25" customHeight="1" x14ac:dyDescent="0.4">
      <c r="B540" s="3"/>
      <c r="C540" s="2"/>
      <c r="D540" s="3"/>
      <c r="E540" s="3"/>
    </row>
    <row r="541" spans="2:5" ht="14.25" customHeight="1" x14ac:dyDescent="0.4">
      <c r="B541" s="3"/>
      <c r="C541" s="2"/>
      <c r="D541" s="3"/>
      <c r="E541" s="3"/>
    </row>
    <row r="542" spans="2:5" ht="14.25" customHeight="1" x14ac:dyDescent="0.4">
      <c r="B542" s="3"/>
      <c r="C542" s="2"/>
      <c r="D542" s="3"/>
      <c r="E542" s="3"/>
    </row>
    <row r="543" spans="2:5" ht="14.25" customHeight="1" x14ac:dyDescent="0.4">
      <c r="B543" s="3"/>
      <c r="C543" s="2"/>
      <c r="D543" s="3"/>
      <c r="E543" s="3"/>
    </row>
    <row r="544" spans="2:5" ht="14.25" customHeight="1" x14ac:dyDescent="0.4">
      <c r="B544" s="3"/>
      <c r="C544" s="2"/>
      <c r="D544" s="3"/>
      <c r="E544" s="3"/>
    </row>
    <row r="545" spans="2:5" ht="14.25" customHeight="1" x14ac:dyDescent="0.4">
      <c r="B545" s="3"/>
      <c r="C545" s="2"/>
      <c r="D545" s="3"/>
      <c r="E545" s="3"/>
    </row>
    <row r="546" spans="2:5" ht="14.25" customHeight="1" x14ac:dyDescent="0.4">
      <c r="B546" s="3"/>
      <c r="C546" s="2"/>
      <c r="D546" s="3"/>
      <c r="E546" s="3"/>
    </row>
    <row r="547" spans="2:5" ht="14.25" customHeight="1" x14ac:dyDescent="0.4">
      <c r="B547" s="3"/>
      <c r="C547" s="2"/>
      <c r="D547" s="3"/>
      <c r="E547" s="3"/>
    </row>
    <row r="548" spans="2:5" ht="14.25" customHeight="1" x14ac:dyDescent="0.4">
      <c r="B548" s="3"/>
      <c r="C548" s="2"/>
      <c r="D548" s="3"/>
      <c r="E548" s="3"/>
    </row>
    <row r="549" spans="2:5" ht="14.25" customHeight="1" x14ac:dyDescent="0.4">
      <c r="B549" s="3"/>
      <c r="C549" s="2"/>
      <c r="D549" s="3"/>
      <c r="E549" s="3"/>
    </row>
    <row r="550" spans="2:5" ht="14.25" customHeight="1" x14ac:dyDescent="0.4">
      <c r="B550" s="3"/>
      <c r="C550" s="2"/>
      <c r="D550" s="3"/>
      <c r="E550" s="3"/>
    </row>
    <row r="551" spans="2:5" ht="14.25" customHeight="1" x14ac:dyDescent="0.4">
      <c r="B551" s="3"/>
      <c r="C551" s="2"/>
      <c r="D551" s="3"/>
      <c r="E551" s="3"/>
    </row>
    <row r="552" spans="2:5" ht="14.25" customHeight="1" x14ac:dyDescent="0.4">
      <c r="B552" s="3"/>
      <c r="C552" s="2"/>
      <c r="D552" s="3"/>
      <c r="E552" s="3"/>
    </row>
    <row r="553" spans="2:5" ht="14.25" customHeight="1" x14ac:dyDescent="0.4">
      <c r="B553" s="3"/>
      <c r="C553" s="2"/>
      <c r="D553" s="3"/>
      <c r="E553" s="3"/>
    </row>
    <row r="554" spans="2:5" ht="14.25" customHeight="1" x14ac:dyDescent="0.4">
      <c r="B554" s="3"/>
      <c r="C554" s="2"/>
      <c r="D554" s="3"/>
      <c r="E554" s="3"/>
    </row>
    <row r="555" spans="2:5" ht="14.25" customHeight="1" x14ac:dyDescent="0.4">
      <c r="B555" s="3"/>
      <c r="C555" s="2"/>
      <c r="D555" s="3"/>
      <c r="E555" s="3"/>
    </row>
    <row r="556" spans="2:5" ht="14.25" customHeight="1" x14ac:dyDescent="0.4">
      <c r="B556" s="3"/>
      <c r="C556" s="2"/>
      <c r="D556" s="3"/>
      <c r="E556" s="3"/>
    </row>
    <row r="557" spans="2:5" ht="14.25" customHeight="1" x14ac:dyDescent="0.4">
      <c r="B557" s="3"/>
      <c r="C557" s="2"/>
      <c r="D557" s="3"/>
      <c r="E557" s="3"/>
    </row>
    <row r="558" spans="2:5" ht="14.25" customHeight="1" x14ac:dyDescent="0.4">
      <c r="B558" s="3"/>
      <c r="C558" s="2"/>
      <c r="D558" s="3"/>
      <c r="E558" s="3"/>
    </row>
    <row r="559" spans="2:5" ht="14.25" customHeight="1" x14ac:dyDescent="0.4">
      <c r="B559" s="3"/>
      <c r="C559" s="2"/>
      <c r="D559" s="3"/>
      <c r="E559" s="3"/>
    </row>
    <row r="560" spans="2:5" ht="14.25" customHeight="1" x14ac:dyDescent="0.4">
      <c r="B560" s="3"/>
      <c r="C560" s="2"/>
      <c r="D560" s="3"/>
      <c r="E560" s="3"/>
    </row>
    <row r="561" spans="2:5" ht="14.25" customHeight="1" x14ac:dyDescent="0.4">
      <c r="B561" s="3"/>
      <c r="C561" s="2"/>
      <c r="D561" s="3"/>
      <c r="E561" s="3"/>
    </row>
    <row r="562" spans="2:5" ht="14.25" customHeight="1" x14ac:dyDescent="0.4">
      <c r="B562" s="3"/>
      <c r="C562" s="2"/>
      <c r="D562" s="3"/>
      <c r="E562" s="3"/>
    </row>
    <row r="563" spans="2:5" ht="14.25" customHeight="1" x14ac:dyDescent="0.4">
      <c r="B563" s="3"/>
      <c r="C563" s="2"/>
      <c r="D563" s="3"/>
      <c r="E563" s="3"/>
    </row>
    <row r="564" spans="2:5" ht="14.25" customHeight="1" x14ac:dyDescent="0.4">
      <c r="B564" s="3"/>
      <c r="C564" s="2"/>
      <c r="D564" s="3"/>
      <c r="E564" s="3"/>
    </row>
    <row r="565" spans="2:5" ht="14.25" customHeight="1" x14ac:dyDescent="0.4">
      <c r="B565" s="3"/>
      <c r="C565" s="2"/>
      <c r="D565" s="3"/>
      <c r="E565" s="3"/>
    </row>
    <row r="566" spans="2:5" ht="14.25" customHeight="1" x14ac:dyDescent="0.4">
      <c r="B566" s="3"/>
      <c r="C566" s="2"/>
      <c r="D566" s="3"/>
      <c r="E566" s="3"/>
    </row>
    <row r="567" spans="2:5" ht="14.25" customHeight="1" x14ac:dyDescent="0.4">
      <c r="B567" s="3"/>
      <c r="C567" s="2"/>
      <c r="D567" s="3"/>
      <c r="E567" s="3"/>
    </row>
    <row r="568" spans="2:5" ht="14.25" customHeight="1" x14ac:dyDescent="0.4">
      <c r="B568" s="3"/>
      <c r="C568" s="2"/>
      <c r="D568" s="3"/>
      <c r="E568" s="3"/>
    </row>
    <row r="569" spans="2:5" ht="14.25" customHeight="1" x14ac:dyDescent="0.4">
      <c r="B569" s="3"/>
      <c r="C569" s="2"/>
      <c r="D569" s="3"/>
      <c r="E569" s="3"/>
    </row>
    <row r="570" spans="2:5" ht="14.25" customHeight="1" x14ac:dyDescent="0.4">
      <c r="B570" s="3"/>
      <c r="C570" s="2"/>
      <c r="D570" s="3"/>
      <c r="E570" s="3"/>
    </row>
    <row r="571" spans="2:5" ht="14.25" customHeight="1" x14ac:dyDescent="0.4">
      <c r="B571" s="3"/>
      <c r="C571" s="2"/>
      <c r="D571" s="3"/>
      <c r="E571" s="3"/>
    </row>
    <row r="572" spans="2:5" ht="14.25" customHeight="1" x14ac:dyDescent="0.4">
      <c r="B572" s="3"/>
      <c r="C572" s="2"/>
      <c r="D572" s="3"/>
      <c r="E572" s="3"/>
    </row>
    <row r="573" spans="2:5" ht="14.25" customHeight="1" x14ac:dyDescent="0.4">
      <c r="B573" s="3"/>
      <c r="C573" s="2"/>
      <c r="D573" s="3"/>
      <c r="E573" s="3"/>
    </row>
    <row r="574" spans="2:5" ht="14.25" customHeight="1" x14ac:dyDescent="0.4">
      <c r="B574" s="3"/>
      <c r="C574" s="2"/>
      <c r="D574" s="3"/>
      <c r="E574" s="3"/>
    </row>
    <row r="575" spans="2:5" ht="14.25" customHeight="1" x14ac:dyDescent="0.4">
      <c r="B575" s="3"/>
      <c r="C575" s="2"/>
      <c r="D575" s="3"/>
      <c r="E575" s="3"/>
    </row>
    <row r="576" spans="2:5" ht="14.25" customHeight="1" x14ac:dyDescent="0.4">
      <c r="B576" s="3"/>
      <c r="C576" s="2"/>
      <c r="D576" s="3"/>
      <c r="E576" s="3"/>
    </row>
    <row r="577" spans="2:5" ht="14.25" customHeight="1" x14ac:dyDescent="0.4">
      <c r="B577" s="3"/>
      <c r="C577" s="2"/>
      <c r="D577" s="3"/>
      <c r="E577" s="3"/>
    </row>
    <row r="578" spans="2:5" ht="14.25" customHeight="1" x14ac:dyDescent="0.4">
      <c r="B578" s="3"/>
      <c r="C578" s="2"/>
      <c r="D578" s="3"/>
      <c r="E578" s="3"/>
    </row>
    <row r="579" spans="2:5" ht="14.25" customHeight="1" x14ac:dyDescent="0.4">
      <c r="B579" s="3"/>
      <c r="C579" s="2"/>
      <c r="D579" s="3"/>
      <c r="E579" s="3"/>
    </row>
    <row r="580" spans="2:5" ht="14.25" customHeight="1" x14ac:dyDescent="0.4">
      <c r="B580" s="3"/>
      <c r="C580" s="2"/>
      <c r="D580" s="3"/>
      <c r="E580" s="3"/>
    </row>
    <row r="581" spans="2:5" ht="14.25" customHeight="1" x14ac:dyDescent="0.4">
      <c r="B581" s="3"/>
      <c r="C581" s="2"/>
      <c r="D581" s="3"/>
      <c r="E581" s="3"/>
    </row>
    <row r="582" spans="2:5" ht="14.25" customHeight="1" x14ac:dyDescent="0.4">
      <c r="B582" s="3"/>
      <c r="C582" s="2"/>
      <c r="D582" s="3"/>
      <c r="E582" s="3"/>
    </row>
    <row r="583" spans="2:5" ht="14.25" customHeight="1" x14ac:dyDescent="0.4">
      <c r="B583" s="3"/>
      <c r="C583" s="2"/>
      <c r="D583" s="3"/>
      <c r="E583" s="3"/>
    </row>
    <row r="584" spans="2:5" ht="14.25" customHeight="1" x14ac:dyDescent="0.4">
      <c r="B584" s="3"/>
      <c r="C584" s="2"/>
      <c r="D584" s="3"/>
      <c r="E584" s="3"/>
    </row>
    <row r="585" spans="2:5" ht="14.25" customHeight="1" x14ac:dyDescent="0.4">
      <c r="B585" s="3"/>
      <c r="C585" s="2"/>
      <c r="D585" s="3"/>
      <c r="E585" s="3"/>
    </row>
    <row r="586" spans="2:5" ht="14.25" customHeight="1" x14ac:dyDescent="0.4">
      <c r="B586" s="3"/>
      <c r="C586" s="2"/>
      <c r="D586" s="3"/>
      <c r="E586" s="3"/>
    </row>
    <row r="587" spans="2:5" ht="14.25" customHeight="1" x14ac:dyDescent="0.4">
      <c r="B587" s="3"/>
      <c r="C587" s="2"/>
      <c r="D587" s="3"/>
      <c r="E587" s="3"/>
    </row>
    <row r="588" spans="2:5" ht="14.25" customHeight="1" x14ac:dyDescent="0.4">
      <c r="B588" s="3"/>
      <c r="C588" s="2"/>
      <c r="D588" s="3"/>
      <c r="E588" s="3"/>
    </row>
    <row r="589" spans="2:5" ht="14.25" customHeight="1" x14ac:dyDescent="0.4">
      <c r="B589" s="3"/>
      <c r="C589" s="2"/>
      <c r="D589" s="3"/>
      <c r="E589" s="3"/>
    </row>
    <row r="590" spans="2:5" ht="14.25" customHeight="1" x14ac:dyDescent="0.4">
      <c r="B590" s="3"/>
      <c r="C590" s="2"/>
      <c r="D590" s="3"/>
      <c r="E590" s="3"/>
    </row>
    <row r="591" spans="2:5" ht="14.25" customHeight="1" x14ac:dyDescent="0.4">
      <c r="B591" s="3"/>
      <c r="C591" s="2"/>
      <c r="D591" s="3"/>
      <c r="E591" s="3"/>
    </row>
    <row r="592" spans="2:5" ht="14.25" customHeight="1" x14ac:dyDescent="0.4">
      <c r="B592" s="3"/>
      <c r="C592" s="2"/>
      <c r="D592" s="3"/>
      <c r="E592" s="3"/>
    </row>
    <row r="593" spans="2:5" ht="14.25" customHeight="1" x14ac:dyDescent="0.4">
      <c r="B593" s="3"/>
      <c r="C593" s="2"/>
      <c r="D593" s="3"/>
      <c r="E593" s="3"/>
    </row>
    <row r="594" spans="2:5" ht="14.25" customHeight="1" x14ac:dyDescent="0.4">
      <c r="B594" s="3"/>
      <c r="C594" s="2"/>
      <c r="D594" s="3"/>
      <c r="E594" s="3"/>
    </row>
    <row r="595" spans="2:5" ht="14.25" customHeight="1" x14ac:dyDescent="0.4">
      <c r="B595" s="3"/>
      <c r="C595" s="2"/>
      <c r="D595" s="3"/>
      <c r="E595" s="3"/>
    </row>
    <row r="596" spans="2:5" ht="14.25" customHeight="1" x14ac:dyDescent="0.4">
      <c r="B596" s="3"/>
      <c r="C596" s="2"/>
      <c r="D596" s="3"/>
      <c r="E596" s="3"/>
    </row>
    <row r="597" spans="2:5" ht="14.25" customHeight="1" x14ac:dyDescent="0.4">
      <c r="B597" s="3"/>
      <c r="C597" s="2"/>
      <c r="D597" s="3"/>
      <c r="E597" s="3"/>
    </row>
    <row r="598" spans="2:5" ht="14.25" customHeight="1" x14ac:dyDescent="0.4">
      <c r="B598" s="3"/>
      <c r="C598" s="2"/>
      <c r="D598" s="3"/>
      <c r="E598" s="3"/>
    </row>
    <row r="599" spans="2:5" ht="14.25" customHeight="1" x14ac:dyDescent="0.4">
      <c r="B599" s="3"/>
      <c r="C599" s="2"/>
      <c r="D599" s="3"/>
      <c r="E599" s="3"/>
    </row>
    <row r="600" spans="2:5" ht="14.25" customHeight="1" x14ac:dyDescent="0.4">
      <c r="B600" s="3"/>
      <c r="C600" s="2"/>
      <c r="D600" s="3"/>
      <c r="E600" s="3"/>
    </row>
    <row r="601" spans="2:5" ht="14.25" customHeight="1" x14ac:dyDescent="0.4">
      <c r="B601" s="3"/>
      <c r="C601" s="2"/>
      <c r="D601" s="3"/>
      <c r="E601" s="3"/>
    </row>
    <row r="602" spans="2:5" ht="14.25" customHeight="1" x14ac:dyDescent="0.4">
      <c r="B602" s="3"/>
      <c r="C602" s="2"/>
      <c r="D602" s="3"/>
      <c r="E602" s="3"/>
    </row>
    <row r="603" spans="2:5" ht="14.25" customHeight="1" x14ac:dyDescent="0.4">
      <c r="B603" s="3"/>
      <c r="C603" s="2"/>
      <c r="D603" s="3"/>
      <c r="E603" s="3"/>
    </row>
    <row r="604" spans="2:5" ht="14.25" customHeight="1" x14ac:dyDescent="0.4">
      <c r="B604" s="3"/>
      <c r="C604" s="2"/>
      <c r="D604" s="3"/>
      <c r="E604" s="3"/>
    </row>
    <row r="605" spans="2:5" ht="14.25" customHeight="1" x14ac:dyDescent="0.4">
      <c r="B605" s="3"/>
      <c r="C605" s="2"/>
      <c r="D605" s="3"/>
      <c r="E605" s="3"/>
    </row>
    <row r="606" spans="2:5" ht="14.25" customHeight="1" x14ac:dyDescent="0.4">
      <c r="B606" s="3"/>
      <c r="C606" s="2"/>
      <c r="D606" s="3"/>
      <c r="E606" s="3"/>
    </row>
    <row r="607" spans="2:5" ht="14.25" customHeight="1" x14ac:dyDescent="0.4">
      <c r="B607" s="3"/>
      <c r="C607" s="2"/>
      <c r="D607" s="3"/>
      <c r="E607" s="3"/>
    </row>
    <row r="608" spans="2:5" ht="14.25" customHeight="1" x14ac:dyDescent="0.4">
      <c r="B608" s="3"/>
      <c r="C608" s="2"/>
      <c r="D608" s="3"/>
      <c r="E608" s="3"/>
    </row>
    <row r="609" spans="2:5" ht="14.25" customHeight="1" x14ac:dyDescent="0.4">
      <c r="B609" s="3"/>
      <c r="C609" s="2"/>
      <c r="D609" s="3"/>
      <c r="E609" s="3"/>
    </row>
    <row r="610" spans="2:5" ht="14.25" customHeight="1" x14ac:dyDescent="0.4">
      <c r="B610" s="3"/>
      <c r="C610" s="2"/>
      <c r="D610" s="3"/>
      <c r="E610" s="3"/>
    </row>
    <row r="611" spans="2:5" ht="14.25" customHeight="1" x14ac:dyDescent="0.4">
      <c r="B611" s="3"/>
      <c r="C611" s="2"/>
      <c r="D611" s="3"/>
      <c r="E611" s="3"/>
    </row>
    <row r="612" spans="2:5" ht="14.25" customHeight="1" x14ac:dyDescent="0.4">
      <c r="B612" s="3"/>
      <c r="C612" s="2"/>
      <c r="D612" s="3"/>
      <c r="E612" s="3"/>
    </row>
    <row r="613" spans="2:5" ht="14.25" customHeight="1" x14ac:dyDescent="0.4">
      <c r="B613" s="3"/>
      <c r="C613" s="2"/>
      <c r="D613" s="3"/>
      <c r="E613" s="3"/>
    </row>
    <row r="614" spans="2:5" ht="14.25" customHeight="1" x14ac:dyDescent="0.4">
      <c r="B614" s="3"/>
      <c r="C614" s="2"/>
      <c r="D614" s="3"/>
      <c r="E614" s="3"/>
    </row>
    <row r="615" spans="2:5" ht="14.25" customHeight="1" x14ac:dyDescent="0.4">
      <c r="B615" s="3"/>
      <c r="C615" s="2"/>
      <c r="D615" s="3"/>
      <c r="E615" s="3"/>
    </row>
    <row r="616" spans="2:5" ht="14.25" customHeight="1" x14ac:dyDescent="0.4">
      <c r="B616" s="3"/>
      <c r="C616" s="2"/>
      <c r="D616" s="3"/>
      <c r="E616" s="3"/>
    </row>
    <row r="617" spans="2:5" ht="14.25" customHeight="1" x14ac:dyDescent="0.4">
      <c r="B617" s="3"/>
      <c r="C617" s="2"/>
      <c r="D617" s="3"/>
      <c r="E617" s="3"/>
    </row>
    <row r="618" spans="2:5" ht="14.25" customHeight="1" x14ac:dyDescent="0.4">
      <c r="B618" s="3"/>
      <c r="C618" s="2"/>
      <c r="D618" s="3"/>
      <c r="E618" s="3"/>
    </row>
    <row r="619" spans="2:5" ht="14.25" customHeight="1" x14ac:dyDescent="0.4">
      <c r="B619" s="3"/>
      <c r="C619" s="2"/>
      <c r="D619" s="3"/>
      <c r="E619" s="3"/>
    </row>
    <row r="620" spans="2:5" ht="14.25" customHeight="1" x14ac:dyDescent="0.4">
      <c r="B620" s="3"/>
      <c r="C620" s="2"/>
      <c r="D620" s="3"/>
      <c r="E620" s="3"/>
    </row>
    <row r="621" spans="2:5" ht="14.25" customHeight="1" x14ac:dyDescent="0.4">
      <c r="B621" s="3"/>
      <c r="C621" s="2"/>
      <c r="D621" s="3"/>
      <c r="E621" s="3"/>
    </row>
    <row r="622" spans="2:5" ht="14.25" customHeight="1" x14ac:dyDescent="0.4">
      <c r="B622" s="3"/>
      <c r="C622" s="2"/>
      <c r="D622" s="3"/>
      <c r="E622" s="3"/>
    </row>
    <row r="623" spans="2:5" ht="14.25" customHeight="1" x14ac:dyDescent="0.4">
      <c r="B623" s="3"/>
      <c r="C623" s="2"/>
      <c r="D623" s="3"/>
      <c r="E623" s="3"/>
    </row>
    <row r="624" spans="2:5" ht="14.25" customHeight="1" x14ac:dyDescent="0.4">
      <c r="B624" s="3"/>
      <c r="C624" s="2"/>
      <c r="D624" s="3"/>
      <c r="E624" s="3"/>
    </row>
    <row r="625" spans="2:5" ht="14.25" customHeight="1" x14ac:dyDescent="0.4">
      <c r="B625" s="3"/>
      <c r="C625" s="2"/>
      <c r="D625" s="3"/>
      <c r="E625" s="3"/>
    </row>
    <row r="626" spans="2:5" ht="14.25" customHeight="1" x14ac:dyDescent="0.4">
      <c r="B626" s="3"/>
      <c r="C626" s="2"/>
      <c r="D626" s="3"/>
      <c r="E626" s="3"/>
    </row>
    <row r="627" spans="2:5" ht="14.25" customHeight="1" x14ac:dyDescent="0.4">
      <c r="B627" s="3"/>
      <c r="C627" s="2"/>
      <c r="D627" s="3"/>
      <c r="E627" s="3"/>
    </row>
    <row r="628" spans="2:5" ht="14.25" customHeight="1" x14ac:dyDescent="0.4">
      <c r="B628" s="3"/>
      <c r="C628" s="2"/>
      <c r="D628" s="3"/>
      <c r="E628" s="3"/>
    </row>
    <row r="629" spans="2:5" ht="14.25" customHeight="1" x14ac:dyDescent="0.4">
      <c r="B629" s="3"/>
      <c r="C629" s="2"/>
      <c r="D629" s="3"/>
      <c r="E629" s="3"/>
    </row>
    <row r="630" spans="2:5" ht="14.25" customHeight="1" x14ac:dyDescent="0.4">
      <c r="B630" s="3"/>
      <c r="C630" s="2"/>
      <c r="D630" s="3"/>
      <c r="E630" s="3"/>
    </row>
    <row r="631" spans="2:5" ht="14.25" customHeight="1" x14ac:dyDescent="0.4">
      <c r="B631" s="3"/>
      <c r="C631" s="2"/>
      <c r="D631" s="3"/>
      <c r="E631" s="3"/>
    </row>
    <row r="632" spans="2:5" ht="14.25" customHeight="1" x14ac:dyDescent="0.4">
      <c r="B632" s="3"/>
      <c r="C632" s="2"/>
      <c r="D632" s="3"/>
      <c r="E632" s="3"/>
    </row>
    <row r="633" spans="2:5" ht="14.25" customHeight="1" x14ac:dyDescent="0.4">
      <c r="B633" s="3"/>
      <c r="C633" s="2"/>
      <c r="D633" s="3"/>
      <c r="E633" s="3"/>
    </row>
    <row r="634" spans="2:5" ht="14.25" customHeight="1" x14ac:dyDescent="0.4">
      <c r="B634" s="3"/>
      <c r="C634" s="2"/>
      <c r="D634" s="3"/>
      <c r="E634" s="3"/>
    </row>
    <row r="635" spans="2:5" ht="14.25" customHeight="1" x14ac:dyDescent="0.4">
      <c r="B635" s="3"/>
      <c r="C635" s="2"/>
      <c r="D635" s="3"/>
      <c r="E635" s="3"/>
    </row>
    <row r="636" spans="2:5" ht="14.25" customHeight="1" x14ac:dyDescent="0.4">
      <c r="B636" s="3"/>
      <c r="C636" s="2"/>
      <c r="D636" s="3"/>
      <c r="E636" s="3"/>
    </row>
    <row r="637" spans="2:5" ht="14.25" customHeight="1" x14ac:dyDescent="0.4">
      <c r="B637" s="3"/>
      <c r="C637" s="2"/>
      <c r="D637" s="3"/>
      <c r="E637" s="3"/>
    </row>
    <row r="638" spans="2:5" ht="14.25" customHeight="1" x14ac:dyDescent="0.4">
      <c r="B638" s="3"/>
      <c r="C638" s="2"/>
      <c r="D638" s="3"/>
      <c r="E638" s="3"/>
    </row>
    <row r="639" spans="2:5" ht="14.25" customHeight="1" x14ac:dyDescent="0.4">
      <c r="B639" s="3"/>
      <c r="C639" s="2"/>
      <c r="D639" s="3"/>
      <c r="E639" s="3"/>
    </row>
    <row r="640" spans="2:5" ht="14.25" customHeight="1" x14ac:dyDescent="0.4">
      <c r="B640" s="3"/>
      <c r="C640" s="2"/>
      <c r="D640" s="3"/>
      <c r="E640" s="3"/>
    </row>
    <row r="641" spans="2:5" ht="14.25" customHeight="1" x14ac:dyDescent="0.4">
      <c r="B641" s="3"/>
      <c r="C641" s="2"/>
      <c r="D641" s="3"/>
      <c r="E641" s="3"/>
    </row>
    <row r="642" spans="2:5" ht="14.25" customHeight="1" x14ac:dyDescent="0.4">
      <c r="B642" s="3"/>
      <c r="C642" s="2"/>
      <c r="D642" s="3"/>
      <c r="E642" s="3"/>
    </row>
    <row r="643" spans="2:5" ht="14.25" customHeight="1" x14ac:dyDescent="0.4">
      <c r="B643" s="3"/>
      <c r="C643" s="2"/>
      <c r="D643" s="3"/>
      <c r="E643" s="3"/>
    </row>
    <row r="644" spans="2:5" ht="14.25" customHeight="1" x14ac:dyDescent="0.4">
      <c r="B644" s="3"/>
      <c r="C644" s="2"/>
      <c r="D644" s="3"/>
      <c r="E644" s="3"/>
    </row>
    <row r="645" spans="2:5" ht="14.25" customHeight="1" x14ac:dyDescent="0.4">
      <c r="B645" s="3"/>
      <c r="C645" s="2"/>
      <c r="D645" s="3"/>
      <c r="E645" s="3"/>
    </row>
    <row r="646" spans="2:5" ht="14.25" customHeight="1" x14ac:dyDescent="0.4">
      <c r="B646" s="3"/>
      <c r="C646" s="2"/>
      <c r="D646" s="3"/>
      <c r="E646" s="3"/>
    </row>
    <row r="647" spans="2:5" ht="14.25" customHeight="1" x14ac:dyDescent="0.4">
      <c r="B647" s="3"/>
      <c r="C647" s="2"/>
      <c r="D647" s="3"/>
      <c r="E647" s="3"/>
    </row>
    <row r="648" spans="2:5" ht="14.25" customHeight="1" x14ac:dyDescent="0.4">
      <c r="B648" s="3"/>
      <c r="C648" s="2"/>
      <c r="D648" s="3"/>
      <c r="E648" s="3"/>
    </row>
    <row r="649" spans="2:5" ht="14.25" customHeight="1" x14ac:dyDescent="0.4">
      <c r="B649" s="3"/>
      <c r="C649" s="2"/>
      <c r="D649" s="3"/>
      <c r="E649" s="3"/>
    </row>
    <row r="650" spans="2:5" ht="14.25" customHeight="1" x14ac:dyDescent="0.4">
      <c r="B650" s="3"/>
      <c r="C650" s="2"/>
      <c r="D650" s="3"/>
      <c r="E650" s="3"/>
    </row>
    <row r="651" spans="2:5" ht="14.25" customHeight="1" x14ac:dyDescent="0.4">
      <c r="B651" s="3"/>
      <c r="C651" s="2"/>
      <c r="D651" s="3"/>
      <c r="E651" s="3"/>
    </row>
    <row r="652" spans="2:5" ht="14.25" customHeight="1" x14ac:dyDescent="0.4">
      <c r="B652" s="3"/>
      <c r="C652" s="2"/>
      <c r="D652" s="3"/>
      <c r="E652" s="3"/>
    </row>
    <row r="653" spans="2:5" ht="14.25" customHeight="1" x14ac:dyDescent="0.4">
      <c r="B653" s="3"/>
      <c r="C653" s="2"/>
      <c r="D653" s="3"/>
      <c r="E653" s="3"/>
    </row>
    <row r="654" spans="2:5" ht="14.25" customHeight="1" x14ac:dyDescent="0.4">
      <c r="B654" s="3"/>
      <c r="C654" s="2"/>
      <c r="D654" s="3"/>
      <c r="E654" s="3"/>
    </row>
    <row r="655" spans="2:5" ht="14.25" customHeight="1" x14ac:dyDescent="0.4">
      <c r="B655" s="3"/>
      <c r="C655" s="2"/>
      <c r="D655" s="3"/>
      <c r="E655" s="3"/>
    </row>
    <row r="656" spans="2:5" ht="14.25" customHeight="1" x14ac:dyDescent="0.4">
      <c r="B656" s="3"/>
      <c r="C656" s="2"/>
      <c r="D656" s="3"/>
      <c r="E656" s="3"/>
    </row>
    <row r="657" spans="2:5" ht="14.25" customHeight="1" x14ac:dyDescent="0.4">
      <c r="B657" s="3"/>
      <c r="C657" s="2"/>
      <c r="D657" s="3"/>
      <c r="E657" s="3"/>
    </row>
    <row r="658" spans="2:5" ht="14.25" customHeight="1" x14ac:dyDescent="0.4">
      <c r="B658" s="3"/>
      <c r="C658" s="2"/>
      <c r="D658" s="3"/>
      <c r="E658" s="3"/>
    </row>
    <row r="659" spans="2:5" ht="14.25" customHeight="1" x14ac:dyDescent="0.4">
      <c r="B659" s="3"/>
      <c r="C659" s="2"/>
      <c r="D659" s="3"/>
      <c r="E659" s="3"/>
    </row>
    <row r="660" spans="2:5" ht="14.25" customHeight="1" x14ac:dyDescent="0.4">
      <c r="B660" s="3"/>
      <c r="C660" s="2"/>
      <c r="D660" s="3"/>
      <c r="E660" s="3"/>
    </row>
    <row r="661" spans="2:5" ht="14.25" customHeight="1" x14ac:dyDescent="0.4">
      <c r="B661" s="3"/>
      <c r="C661" s="2"/>
      <c r="D661" s="3"/>
      <c r="E661" s="3"/>
    </row>
    <row r="662" spans="2:5" ht="14.25" customHeight="1" x14ac:dyDescent="0.4">
      <c r="B662" s="3"/>
      <c r="C662" s="2"/>
      <c r="D662" s="3"/>
      <c r="E662" s="3"/>
    </row>
    <row r="663" spans="2:5" ht="14.25" customHeight="1" x14ac:dyDescent="0.4">
      <c r="B663" s="3"/>
      <c r="C663" s="2"/>
      <c r="D663" s="3"/>
      <c r="E663" s="3"/>
    </row>
    <row r="664" spans="2:5" ht="14.25" customHeight="1" x14ac:dyDescent="0.4">
      <c r="B664" s="3"/>
      <c r="C664" s="2"/>
      <c r="D664" s="3"/>
      <c r="E664" s="3"/>
    </row>
    <row r="665" spans="2:5" ht="14.25" customHeight="1" x14ac:dyDescent="0.4">
      <c r="B665" s="3"/>
      <c r="C665" s="2"/>
      <c r="D665" s="3"/>
      <c r="E665" s="3"/>
    </row>
    <row r="666" spans="2:5" ht="14.25" customHeight="1" x14ac:dyDescent="0.4">
      <c r="B666" s="3"/>
      <c r="C666" s="2"/>
      <c r="D666" s="3"/>
      <c r="E666" s="3"/>
    </row>
    <row r="667" spans="2:5" ht="14.25" customHeight="1" x14ac:dyDescent="0.4">
      <c r="B667" s="3"/>
      <c r="C667" s="2"/>
      <c r="D667" s="3"/>
      <c r="E667" s="3"/>
    </row>
    <row r="668" spans="2:5" ht="14.25" customHeight="1" x14ac:dyDescent="0.4">
      <c r="B668" s="3"/>
      <c r="C668" s="2"/>
      <c r="D668" s="3"/>
      <c r="E668" s="3"/>
    </row>
    <row r="669" spans="2:5" ht="14.25" customHeight="1" x14ac:dyDescent="0.4">
      <c r="B669" s="3"/>
      <c r="C669" s="2"/>
      <c r="D669" s="3"/>
      <c r="E669" s="3"/>
    </row>
    <row r="670" spans="2:5" ht="14.25" customHeight="1" x14ac:dyDescent="0.4">
      <c r="B670" s="3"/>
      <c r="C670" s="2"/>
      <c r="D670" s="3"/>
      <c r="E670" s="3"/>
    </row>
    <row r="671" spans="2:5" ht="14.25" customHeight="1" x14ac:dyDescent="0.4">
      <c r="B671" s="3"/>
      <c r="C671" s="2"/>
      <c r="D671" s="3"/>
      <c r="E671" s="3"/>
    </row>
    <row r="672" spans="2:5" ht="14.25" customHeight="1" x14ac:dyDescent="0.4">
      <c r="B672" s="3"/>
      <c r="C672" s="2"/>
      <c r="D672" s="3"/>
      <c r="E672" s="3"/>
    </row>
    <row r="673" spans="2:5" ht="14.25" customHeight="1" x14ac:dyDescent="0.4">
      <c r="B673" s="3"/>
      <c r="C673" s="2"/>
      <c r="D673" s="3"/>
      <c r="E673" s="3"/>
    </row>
    <row r="674" spans="2:5" ht="14.25" customHeight="1" x14ac:dyDescent="0.4">
      <c r="B674" s="3"/>
      <c r="C674" s="2"/>
      <c r="D674" s="3"/>
      <c r="E674" s="3"/>
    </row>
    <row r="675" spans="2:5" ht="14.25" customHeight="1" x14ac:dyDescent="0.4">
      <c r="B675" s="3"/>
      <c r="C675" s="2"/>
      <c r="D675" s="3"/>
      <c r="E675" s="3"/>
    </row>
    <row r="676" spans="2:5" ht="14.25" customHeight="1" x14ac:dyDescent="0.4">
      <c r="B676" s="3"/>
      <c r="C676" s="2"/>
      <c r="D676" s="3"/>
      <c r="E676" s="3"/>
    </row>
    <row r="677" spans="2:5" ht="14.25" customHeight="1" x14ac:dyDescent="0.4">
      <c r="B677" s="3"/>
      <c r="C677" s="2"/>
      <c r="D677" s="3"/>
      <c r="E677" s="3"/>
    </row>
    <row r="678" spans="2:5" ht="14.25" customHeight="1" x14ac:dyDescent="0.4">
      <c r="B678" s="3"/>
      <c r="C678" s="2"/>
      <c r="D678" s="3"/>
      <c r="E678" s="3"/>
    </row>
    <row r="679" spans="2:5" ht="14.25" customHeight="1" x14ac:dyDescent="0.4">
      <c r="B679" s="3"/>
      <c r="C679" s="2"/>
      <c r="D679" s="3"/>
      <c r="E679" s="3"/>
    </row>
    <row r="680" spans="2:5" ht="14.25" customHeight="1" x14ac:dyDescent="0.4">
      <c r="B680" s="3"/>
      <c r="C680" s="2"/>
      <c r="D680" s="3"/>
      <c r="E680" s="3"/>
    </row>
    <row r="681" spans="2:5" ht="14.25" customHeight="1" x14ac:dyDescent="0.4">
      <c r="B681" s="3"/>
      <c r="C681" s="2"/>
      <c r="D681" s="3"/>
      <c r="E681" s="3"/>
    </row>
    <row r="682" spans="2:5" ht="14.25" customHeight="1" x14ac:dyDescent="0.4">
      <c r="B682" s="3"/>
      <c r="C682" s="2"/>
      <c r="D682" s="3"/>
      <c r="E682" s="3"/>
    </row>
    <row r="683" spans="2:5" ht="14.25" customHeight="1" x14ac:dyDescent="0.4">
      <c r="B683" s="3"/>
      <c r="C683" s="2"/>
      <c r="D683" s="3"/>
      <c r="E683" s="3"/>
    </row>
    <row r="684" spans="2:5" ht="14.25" customHeight="1" x14ac:dyDescent="0.4">
      <c r="B684" s="3"/>
      <c r="C684" s="2"/>
      <c r="D684" s="3"/>
      <c r="E684" s="3"/>
    </row>
    <row r="685" spans="2:5" ht="14.25" customHeight="1" x14ac:dyDescent="0.4">
      <c r="B685" s="3"/>
      <c r="C685" s="2"/>
      <c r="D685" s="3"/>
      <c r="E685" s="3"/>
    </row>
    <row r="686" spans="2:5" ht="14.25" customHeight="1" x14ac:dyDescent="0.4">
      <c r="B686" s="3"/>
      <c r="C686" s="2"/>
      <c r="D686" s="3"/>
      <c r="E686" s="3"/>
    </row>
    <row r="687" spans="2:5" ht="14.25" customHeight="1" x14ac:dyDescent="0.4">
      <c r="B687" s="3"/>
      <c r="C687" s="2"/>
      <c r="D687" s="3"/>
      <c r="E687" s="3"/>
    </row>
    <row r="688" spans="2:5" ht="14.25" customHeight="1" x14ac:dyDescent="0.4">
      <c r="B688" s="3"/>
      <c r="C688" s="2"/>
      <c r="D688" s="3"/>
      <c r="E688" s="3"/>
    </row>
    <row r="689" spans="2:5" ht="14.25" customHeight="1" x14ac:dyDescent="0.4">
      <c r="B689" s="3"/>
      <c r="C689" s="2"/>
      <c r="D689" s="3"/>
      <c r="E689" s="3"/>
    </row>
    <row r="690" spans="2:5" ht="14.25" customHeight="1" x14ac:dyDescent="0.4">
      <c r="B690" s="3"/>
      <c r="C690" s="2"/>
      <c r="D690" s="3"/>
      <c r="E690" s="3"/>
    </row>
    <row r="691" spans="2:5" ht="14.25" customHeight="1" x14ac:dyDescent="0.4">
      <c r="B691" s="3"/>
      <c r="C691" s="2"/>
      <c r="D691" s="3"/>
      <c r="E691" s="3"/>
    </row>
    <row r="692" spans="2:5" ht="14.25" customHeight="1" x14ac:dyDescent="0.4">
      <c r="B692" s="3"/>
      <c r="C692" s="2"/>
      <c r="D692" s="3"/>
      <c r="E692" s="3"/>
    </row>
    <row r="693" spans="2:5" ht="15.75" customHeight="1" x14ac:dyDescent="0.3">
      <c r="C693" s="2"/>
    </row>
    <row r="694" spans="2:5" ht="15.75" customHeight="1" x14ac:dyDescent="0.3">
      <c r="C694" s="2"/>
    </row>
    <row r="695" spans="2:5" ht="15.75" customHeight="1" x14ac:dyDescent="0.3">
      <c r="C695" s="2"/>
    </row>
    <row r="696" spans="2:5" ht="15.75" customHeight="1" x14ac:dyDescent="0.3">
      <c r="C696" s="2"/>
    </row>
    <row r="697" spans="2:5" ht="15.75" customHeight="1" x14ac:dyDescent="0.3">
      <c r="C697" s="2"/>
    </row>
    <row r="698" spans="2:5" ht="15.75" customHeight="1" x14ac:dyDescent="0.3">
      <c r="C698" s="2"/>
    </row>
    <row r="699" spans="2:5" ht="15.75" customHeight="1" x14ac:dyDescent="0.3">
      <c r="C699" s="2"/>
    </row>
    <row r="700" spans="2:5" ht="15.75" customHeight="1" x14ac:dyDescent="0.3">
      <c r="C700" s="2"/>
    </row>
    <row r="701" spans="2:5" ht="15.75" customHeight="1" x14ac:dyDescent="0.3">
      <c r="C701" s="2"/>
    </row>
    <row r="702" spans="2:5" ht="15.75" customHeight="1" x14ac:dyDescent="0.3">
      <c r="C702" s="2"/>
    </row>
    <row r="703" spans="2:5" ht="15.75" customHeight="1" x14ac:dyDescent="0.3">
      <c r="C703" s="2"/>
    </row>
    <row r="704" spans="2:5" ht="15.75" customHeight="1" x14ac:dyDescent="0.3">
      <c r="C704" s="2"/>
    </row>
    <row r="705" spans="3:3" ht="15.75" customHeight="1" x14ac:dyDescent="0.3">
      <c r="C705" s="2"/>
    </row>
    <row r="706" spans="3:3" ht="15.75" customHeight="1" x14ac:dyDescent="0.3">
      <c r="C706" s="2"/>
    </row>
    <row r="707" spans="3:3" ht="15.75" customHeight="1" x14ac:dyDescent="0.3">
      <c r="C707" s="2"/>
    </row>
    <row r="708" spans="3:3" ht="15.75" customHeight="1" x14ac:dyDescent="0.3">
      <c r="C708" s="2"/>
    </row>
    <row r="709" spans="3:3" ht="15.75" customHeight="1" x14ac:dyDescent="0.3">
      <c r="C709" s="2"/>
    </row>
    <row r="710" spans="3:3" ht="15.75" customHeight="1" x14ac:dyDescent="0.3">
      <c r="C710" s="2"/>
    </row>
    <row r="711" spans="3:3" ht="15.75" customHeight="1" x14ac:dyDescent="0.3">
      <c r="C711" s="2"/>
    </row>
    <row r="712" spans="3:3" ht="15.75" customHeight="1" x14ac:dyDescent="0.3">
      <c r="C712" s="2"/>
    </row>
    <row r="713" spans="3:3" ht="15.75" customHeight="1" x14ac:dyDescent="0.3">
      <c r="C713" s="2"/>
    </row>
    <row r="714" spans="3:3" ht="15.75" customHeight="1" x14ac:dyDescent="0.3">
      <c r="C714" s="2"/>
    </row>
    <row r="715" spans="3:3" ht="15.75" customHeight="1" x14ac:dyDescent="0.3">
      <c r="C715" s="2"/>
    </row>
    <row r="716" spans="3:3" ht="15.75" customHeight="1" x14ac:dyDescent="0.3">
      <c r="C716" s="2"/>
    </row>
    <row r="717" spans="3:3" ht="15.75" customHeight="1" x14ac:dyDescent="0.3">
      <c r="C717" s="2"/>
    </row>
    <row r="718" spans="3:3" ht="15.75" customHeight="1" x14ac:dyDescent="0.3">
      <c r="C718" s="2"/>
    </row>
    <row r="719" spans="3:3" ht="15.75" customHeight="1" x14ac:dyDescent="0.3">
      <c r="C719" s="2"/>
    </row>
    <row r="720" spans="3:3" ht="15.75" customHeight="1" x14ac:dyDescent="0.3">
      <c r="C720" s="2"/>
    </row>
    <row r="721" spans="3:3" ht="15.75" customHeight="1" x14ac:dyDescent="0.3">
      <c r="C721" s="2"/>
    </row>
    <row r="722" spans="3:3" ht="15.75" customHeight="1" x14ac:dyDescent="0.3">
      <c r="C722" s="2"/>
    </row>
    <row r="723" spans="3:3" ht="15.75" customHeight="1" x14ac:dyDescent="0.3">
      <c r="C723" s="2"/>
    </row>
    <row r="724" spans="3:3" ht="15.75" customHeight="1" x14ac:dyDescent="0.3">
      <c r="C724" s="2"/>
    </row>
    <row r="725" spans="3:3" ht="15.75" customHeight="1" x14ac:dyDescent="0.3">
      <c r="C725" s="2"/>
    </row>
    <row r="726" spans="3:3" ht="15.75" customHeight="1" x14ac:dyDescent="0.3">
      <c r="C726" s="2"/>
    </row>
    <row r="727" spans="3:3" ht="15.75" customHeight="1" x14ac:dyDescent="0.3">
      <c r="C727" s="2"/>
    </row>
    <row r="728" spans="3:3" ht="15.75" customHeight="1" x14ac:dyDescent="0.3">
      <c r="C728" s="2"/>
    </row>
    <row r="729" spans="3:3" ht="15.75" customHeight="1" x14ac:dyDescent="0.3">
      <c r="C729" s="2"/>
    </row>
    <row r="730" spans="3:3" ht="15.75" customHeight="1" x14ac:dyDescent="0.3">
      <c r="C730" s="2"/>
    </row>
    <row r="731" spans="3:3" ht="15.75" customHeight="1" x14ac:dyDescent="0.3">
      <c r="C731" s="2"/>
    </row>
    <row r="732" spans="3:3" ht="15.75" customHeight="1" x14ac:dyDescent="0.3">
      <c r="C732" s="2"/>
    </row>
    <row r="733" spans="3:3" ht="15.75" customHeight="1" x14ac:dyDescent="0.3">
      <c r="C733" s="2"/>
    </row>
    <row r="734" spans="3:3" ht="15.75" customHeight="1" x14ac:dyDescent="0.3">
      <c r="C734" s="2"/>
    </row>
    <row r="735" spans="3:3" ht="15.75" customHeight="1" x14ac:dyDescent="0.3">
      <c r="C735" s="2"/>
    </row>
    <row r="736" spans="3:3" ht="15.75" customHeight="1" x14ac:dyDescent="0.3">
      <c r="C736" s="2"/>
    </row>
    <row r="737" spans="3:3" ht="15.75" customHeight="1" x14ac:dyDescent="0.3">
      <c r="C737" s="2"/>
    </row>
    <row r="738" spans="3:3" ht="15.75" customHeight="1" x14ac:dyDescent="0.3">
      <c r="C738" s="2"/>
    </row>
    <row r="739" spans="3:3" ht="15.75" customHeight="1" x14ac:dyDescent="0.3">
      <c r="C739" s="2"/>
    </row>
    <row r="740" spans="3:3" ht="15.75" customHeight="1" x14ac:dyDescent="0.3">
      <c r="C740" s="2"/>
    </row>
    <row r="741" spans="3:3" ht="15.75" customHeight="1" x14ac:dyDescent="0.3">
      <c r="C741" s="2"/>
    </row>
    <row r="742" spans="3:3" ht="15.75" customHeight="1" x14ac:dyDescent="0.3">
      <c r="C742" s="2"/>
    </row>
    <row r="743" spans="3:3" ht="15.75" customHeight="1" x14ac:dyDescent="0.3">
      <c r="C743" s="2"/>
    </row>
    <row r="744" spans="3:3" ht="15.75" customHeight="1" x14ac:dyDescent="0.3">
      <c r="C744" s="2"/>
    </row>
    <row r="745" spans="3:3" ht="15.75" customHeight="1" x14ac:dyDescent="0.3">
      <c r="C745" s="2"/>
    </row>
    <row r="746" spans="3:3" ht="15.75" customHeight="1" x14ac:dyDescent="0.3">
      <c r="C746" s="2"/>
    </row>
    <row r="747" spans="3:3" ht="15.75" customHeight="1" x14ac:dyDescent="0.3">
      <c r="C747" s="2"/>
    </row>
    <row r="748" spans="3:3" ht="15.75" customHeight="1" x14ac:dyDescent="0.3">
      <c r="C748" s="2"/>
    </row>
    <row r="749" spans="3:3" ht="15.75" customHeight="1" x14ac:dyDescent="0.3">
      <c r="C749" s="2"/>
    </row>
    <row r="750" spans="3:3" ht="15.75" customHeight="1" x14ac:dyDescent="0.3">
      <c r="C750" s="2"/>
    </row>
    <row r="751" spans="3:3" ht="15.75" customHeight="1" x14ac:dyDescent="0.3">
      <c r="C751" s="2"/>
    </row>
    <row r="752" spans="3:3" ht="15.75" customHeight="1" x14ac:dyDescent="0.3">
      <c r="C752" s="2"/>
    </row>
    <row r="753" spans="3:3" ht="15.75" customHeight="1" x14ac:dyDescent="0.3">
      <c r="C753" s="2"/>
    </row>
    <row r="754" spans="3:3" ht="15.75" customHeight="1" x14ac:dyDescent="0.3">
      <c r="C754" s="2"/>
    </row>
    <row r="755" spans="3:3" ht="15.75" customHeight="1" x14ac:dyDescent="0.3">
      <c r="C755" s="2"/>
    </row>
    <row r="756" spans="3:3" ht="15.75" customHeight="1" x14ac:dyDescent="0.3">
      <c r="C756" s="2"/>
    </row>
    <row r="757" spans="3:3" ht="15.75" customHeight="1" x14ac:dyDescent="0.3">
      <c r="C757" s="2"/>
    </row>
    <row r="758" spans="3:3" ht="15.75" customHeight="1" x14ac:dyDescent="0.3">
      <c r="C758" s="2"/>
    </row>
    <row r="759" spans="3:3" ht="15.75" customHeight="1" x14ac:dyDescent="0.3">
      <c r="C759" s="2"/>
    </row>
    <row r="760" spans="3:3" ht="15.75" customHeight="1" x14ac:dyDescent="0.3">
      <c r="C760" s="2"/>
    </row>
    <row r="761" spans="3:3" ht="15.75" customHeight="1" x14ac:dyDescent="0.3">
      <c r="C761" s="2"/>
    </row>
    <row r="762" spans="3:3" ht="15.75" customHeight="1" x14ac:dyDescent="0.3">
      <c r="C762" s="2"/>
    </row>
    <row r="763" spans="3:3" ht="15.75" customHeight="1" x14ac:dyDescent="0.3">
      <c r="C763" s="2"/>
    </row>
    <row r="764" spans="3:3" ht="15.75" customHeight="1" x14ac:dyDescent="0.3">
      <c r="C764" s="2"/>
    </row>
    <row r="765" spans="3:3" ht="15.75" customHeight="1" x14ac:dyDescent="0.3">
      <c r="C765" s="2"/>
    </row>
    <row r="766" spans="3:3" ht="15.75" customHeight="1" x14ac:dyDescent="0.3">
      <c r="C766" s="2"/>
    </row>
    <row r="767" spans="3:3" ht="15.75" customHeight="1" x14ac:dyDescent="0.3">
      <c r="C767" s="2"/>
    </row>
    <row r="768" spans="3:3" ht="15.75" customHeight="1" x14ac:dyDescent="0.3">
      <c r="C768" s="2"/>
    </row>
    <row r="769" spans="3:3" ht="15.75" customHeight="1" x14ac:dyDescent="0.3">
      <c r="C769" s="2"/>
    </row>
    <row r="770" spans="3:3" ht="15.75" customHeight="1" x14ac:dyDescent="0.3">
      <c r="C770" s="2"/>
    </row>
    <row r="771" spans="3:3" ht="15.75" customHeight="1" x14ac:dyDescent="0.3">
      <c r="C771" s="2"/>
    </row>
    <row r="772" spans="3:3" ht="15.75" customHeight="1" x14ac:dyDescent="0.3">
      <c r="C772" s="2"/>
    </row>
    <row r="773" spans="3:3" ht="15.75" customHeight="1" x14ac:dyDescent="0.3">
      <c r="C773" s="2"/>
    </row>
    <row r="774" spans="3:3" ht="15.75" customHeight="1" x14ac:dyDescent="0.3">
      <c r="C774" s="2"/>
    </row>
    <row r="775" spans="3:3" ht="15.75" customHeight="1" x14ac:dyDescent="0.3">
      <c r="C775" s="2"/>
    </row>
    <row r="776" spans="3:3" ht="15.75" customHeight="1" x14ac:dyDescent="0.3">
      <c r="C776" s="2"/>
    </row>
    <row r="777" spans="3:3" ht="15.75" customHeight="1" x14ac:dyDescent="0.3">
      <c r="C777" s="2"/>
    </row>
    <row r="778" spans="3:3" ht="15.75" customHeight="1" x14ac:dyDescent="0.3">
      <c r="C778" s="2"/>
    </row>
    <row r="779" spans="3:3" ht="15.75" customHeight="1" x14ac:dyDescent="0.3">
      <c r="C779" s="2"/>
    </row>
    <row r="780" spans="3:3" ht="15.75" customHeight="1" x14ac:dyDescent="0.3">
      <c r="C780" s="2"/>
    </row>
    <row r="781" spans="3:3" ht="15.75" customHeight="1" x14ac:dyDescent="0.3">
      <c r="C781" s="2"/>
    </row>
    <row r="782" spans="3:3" ht="15.75" customHeight="1" x14ac:dyDescent="0.3">
      <c r="C782" s="2"/>
    </row>
    <row r="783" spans="3:3" ht="15.75" customHeight="1" x14ac:dyDescent="0.3">
      <c r="C783" s="2"/>
    </row>
    <row r="784" spans="3:3" ht="15.75" customHeight="1" x14ac:dyDescent="0.3">
      <c r="C784" s="2"/>
    </row>
    <row r="785" spans="3:3" ht="15.75" customHeight="1" x14ac:dyDescent="0.3">
      <c r="C785" s="2"/>
    </row>
    <row r="786" spans="3:3" ht="15.75" customHeight="1" x14ac:dyDescent="0.3">
      <c r="C786" s="2"/>
    </row>
    <row r="787" spans="3:3" ht="15.75" customHeight="1" x14ac:dyDescent="0.3">
      <c r="C787" s="2"/>
    </row>
    <row r="788" spans="3:3" ht="15.75" customHeight="1" x14ac:dyDescent="0.3">
      <c r="C788" s="2"/>
    </row>
    <row r="789" spans="3:3" ht="15.75" customHeight="1" x14ac:dyDescent="0.3">
      <c r="C789" s="2"/>
    </row>
    <row r="790" spans="3:3" ht="15.75" customHeight="1" x14ac:dyDescent="0.3">
      <c r="C790" s="2"/>
    </row>
    <row r="791" spans="3:3" ht="15.75" customHeight="1" x14ac:dyDescent="0.3">
      <c r="C791" s="2"/>
    </row>
    <row r="792" spans="3:3" ht="15.75" customHeight="1" x14ac:dyDescent="0.3">
      <c r="C792" s="2"/>
    </row>
    <row r="793" spans="3:3" ht="15.75" customHeight="1" x14ac:dyDescent="0.3">
      <c r="C793" s="2"/>
    </row>
    <row r="794" spans="3:3" ht="15.75" customHeight="1" x14ac:dyDescent="0.3">
      <c r="C794" s="2"/>
    </row>
    <row r="795" spans="3:3" ht="15.75" customHeight="1" x14ac:dyDescent="0.3">
      <c r="C795" s="2"/>
    </row>
    <row r="796" spans="3:3" ht="15.75" customHeight="1" x14ac:dyDescent="0.3">
      <c r="C796" s="2"/>
    </row>
    <row r="797" spans="3:3" ht="15.75" customHeight="1" x14ac:dyDescent="0.3">
      <c r="C797" s="2"/>
    </row>
    <row r="798" spans="3:3" ht="15.75" customHeight="1" x14ac:dyDescent="0.3">
      <c r="C798" s="2"/>
    </row>
    <row r="799" spans="3:3" ht="15.75" customHeight="1" x14ac:dyDescent="0.3">
      <c r="C799" s="2"/>
    </row>
    <row r="800" spans="3:3" ht="15.75" customHeight="1" x14ac:dyDescent="0.3">
      <c r="C800" s="2"/>
    </row>
    <row r="801" spans="3:3" ht="15.75" customHeight="1" x14ac:dyDescent="0.3">
      <c r="C801" s="2"/>
    </row>
    <row r="802" spans="3:3" ht="15.75" customHeight="1" x14ac:dyDescent="0.3">
      <c r="C802" s="2"/>
    </row>
    <row r="803" spans="3:3" ht="15.75" customHeight="1" x14ac:dyDescent="0.3">
      <c r="C803" s="2"/>
    </row>
    <row r="804" spans="3:3" ht="15.75" customHeight="1" x14ac:dyDescent="0.3">
      <c r="C804" s="2"/>
    </row>
    <row r="805" spans="3:3" ht="15.75" customHeight="1" x14ac:dyDescent="0.3">
      <c r="C805" s="2"/>
    </row>
    <row r="806" spans="3:3" ht="15.75" customHeight="1" x14ac:dyDescent="0.3">
      <c r="C806" s="2"/>
    </row>
    <row r="807" spans="3:3" ht="15.75" customHeight="1" x14ac:dyDescent="0.3">
      <c r="C807" s="2"/>
    </row>
    <row r="808" spans="3:3" ht="15.75" customHeight="1" x14ac:dyDescent="0.3">
      <c r="C808" s="2"/>
    </row>
    <row r="809" spans="3:3" ht="15.75" customHeight="1" x14ac:dyDescent="0.3">
      <c r="C809" s="2"/>
    </row>
    <row r="810" spans="3:3" ht="15.75" customHeight="1" x14ac:dyDescent="0.3">
      <c r="C810" s="2"/>
    </row>
    <row r="811" spans="3:3" ht="15.75" customHeight="1" x14ac:dyDescent="0.3">
      <c r="C811" s="2"/>
    </row>
    <row r="812" spans="3:3" ht="15.75" customHeight="1" x14ac:dyDescent="0.3">
      <c r="C812" s="2"/>
    </row>
    <row r="813" spans="3:3" ht="15.75" customHeight="1" x14ac:dyDescent="0.3">
      <c r="C813" s="2"/>
    </row>
    <row r="814" spans="3:3" ht="15.75" customHeight="1" x14ac:dyDescent="0.3">
      <c r="C814" s="2"/>
    </row>
    <row r="815" spans="3:3" ht="15.75" customHeight="1" x14ac:dyDescent="0.3">
      <c r="C815" s="2"/>
    </row>
    <row r="816" spans="3:3" ht="15.75" customHeight="1" x14ac:dyDescent="0.3">
      <c r="C816" s="2"/>
    </row>
    <row r="817" spans="3:3" ht="15.75" customHeight="1" x14ac:dyDescent="0.3">
      <c r="C817" s="2"/>
    </row>
    <row r="818" spans="3:3" ht="15.75" customHeight="1" x14ac:dyDescent="0.3">
      <c r="C818" s="2"/>
    </row>
    <row r="819" spans="3:3" ht="15.75" customHeight="1" x14ac:dyDescent="0.3">
      <c r="C819" s="2"/>
    </row>
    <row r="820" spans="3:3" ht="15.75" customHeight="1" x14ac:dyDescent="0.3">
      <c r="C820" s="2"/>
    </row>
    <row r="821" spans="3:3" ht="15.75" customHeight="1" x14ac:dyDescent="0.3">
      <c r="C821" s="2"/>
    </row>
    <row r="822" spans="3:3" ht="15.75" customHeight="1" x14ac:dyDescent="0.3">
      <c r="C822" s="2"/>
    </row>
    <row r="823" spans="3:3" ht="15.75" customHeight="1" x14ac:dyDescent="0.3">
      <c r="C823" s="2"/>
    </row>
    <row r="824" spans="3:3" ht="15.75" customHeight="1" x14ac:dyDescent="0.3">
      <c r="C824" s="2"/>
    </row>
    <row r="825" spans="3:3" ht="15.75" customHeight="1" x14ac:dyDescent="0.3">
      <c r="C825" s="2"/>
    </row>
    <row r="826" spans="3:3" ht="15.75" customHeight="1" x14ac:dyDescent="0.3">
      <c r="C826" s="2"/>
    </row>
    <row r="827" spans="3:3" ht="15.75" customHeight="1" x14ac:dyDescent="0.3">
      <c r="C827" s="2"/>
    </row>
    <row r="828" spans="3:3" ht="15.75" customHeight="1" x14ac:dyDescent="0.3">
      <c r="C828" s="2"/>
    </row>
    <row r="829" spans="3:3" ht="15.75" customHeight="1" x14ac:dyDescent="0.3">
      <c r="C829" s="2"/>
    </row>
    <row r="830" spans="3:3" ht="15.75" customHeight="1" x14ac:dyDescent="0.3">
      <c r="C830" s="2"/>
    </row>
    <row r="831" spans="3:3" ht="15.75" customHeight="1" x14ac:dyDescent="0.3">
      <c r="C831" s="2"/>
    </row>
    <row r="832" spans="3:3" ht="15.75" customHeight="1" x14ac:dyDescent="0.3">
      <c r="C832" s="2"/>
    </row>
    <row r="833" spans="3:3" ht="15.75" customHeight="1" x14ac:dyDescent="0.3">
      <c r="C833" s="2"/>
    </row>
    <row r="834" spans="3:3" ht="15.75" customHeight="1" x14ac:dyDescent="0.3">
      <c r="C834" s="2"/>
    </row>
    <row r="835" spans="3:3" ht="15.75" customHeight="1" x14ac:dyDescent="0.3">
      <c r="C835" s="2"/>
    </row>
    <row r="836" spans="3:3" ht="15.75" customHeight="1" x14ac:dyDescent="0.3">
      <c r="C836" s="2"/>
    </row>
    <row r="837" spans="3:3" ht="15.75" customHeight="1" x14ac:dyDescent="0.3">
      <c r="C837" s="2"/>
    </row>
    <row r="838" spans="3:3" ht="15.75" customHeight="1" x14ac:dyDescent="0.3">
      <c r="C838" s="2"/>
    </row>
    <row r="839" spans="3:3" ht="15.75" customHeight="1" x14ac:dyDescent="0.3">
      <c r="C839" s="2"/>
    </row>
    <row r="840" spans="3:3" ht="15.75" customHeight="1" x14ac:dyDescent="0.3">
      <c r="C840" s="2"/>
    </row>
    <row r="841" spans="3:3" ht="15.75" customHeight="1" x14ac:dyDescent="0.3">
      <c r="C841" s="2"/>
    </row>
    <row r="842" spans="3:3" ht="15.75" customHeight="1" x14ac:dyDescent="0.3">
      <c r="C842" s="2"/>
    </row>
    <row r="843" spans="3:3" ht="15.75" customHeight="1" x14ac:dyDescent="0.3">
      <c r="C843" s="2"/>
    </row>
    <row r="844" spans="3:3" ht="15.75" customHeight="1" x14ac:dyDescent="0.3">
      <c r="C844" s="2"/>
    </row>
    <row r="845" spans="3:3" ht="15.75" customHeight="1" x14ac:dyDescent="0.3">
      <c r="C845" s="2"/>
    </row>
    <row r="846" spans="3:3" ht="15.75" customHeight="1" x14ac:dyDescent="0.3">
      <c r="C846" s="2"/>
    </row>
    <row r="847" spans="3:3" ht="15.75" customHeight="1" x14ac:dyDescent="0.3">
      <c r="C847" s="2"/>
    </row>
    <row r="848" spans="3:3" ht="15.75" customHeight="1" x14ac:dyDescent="0.3">
      <c r="C848" s="2"/>
    </row>
    <row r="849" spans="3:3" ht="15.75" customHeight="1" x14ac:dyDescent="0.3">
      <c r="C849" s="2"/>
    </row>
    <row r="850" spans="3:3" ht="15.75" customHeight="1" x14ac:dyDescent="0.3">
      <c r="C850" s="2"/>
    </row>
    <row r="851" spans="3:3" ht="15.75" customHeight="1" x14ac:dyDescent="0.3">
      <c r="C851" s="2"/>
    </row>
    <row r="852" spans="3:3" ht="15.75" customHeight="1" x14ac:dyDescent="0.3">
      <c r="C852" s="2"/>
    </row>
    <row r="853" spans="3:3" ht="15.75" customHeight="1" x14ac:dyDescent="0.3">
      <c r="C853" s="2"/>
    </row>
    <row r="854" spans="3:3" ht="15.75" customHeight="1" x14ac:dyDescent="0.3">
      <c r="C854" s="2"/>
    </row>
    <row r="855" spans="3:3" ht="15.75" customHeight="1" x14ac:dyDescent="0.3">
      <c r="C855" s="2"/>
    </row>
    <row r="856" spans="3:3" ht="15.75" customHeight="1" x14ac:dyDescent="0.3">
      <c r="C856" s="2"/>
    </row>
    <row r="857" spans="3:3" ht="15.75" customHeight="1" x14ac:dyDescent="0.3">
      <c r="C857" s="2"/>
    </row>
    <row r="858" spans="3:3" ht="15.75" customHeight="1" x14ac:dyDescent="0.3">
      <c r="C858" s="2"/>
    </row>
    <row r="859" spans="3:3" ht="15.75" customHeight="1" x14ac:dyDescent="0.3">
      <c r="C859" s="2"/>
    </row>
    <row r="860" spans="3:3" ht="15.75" customHeight="1" x14ac:dyDescent="0.3">
      <c r="C860" s="2"/>
    </row>
    <row r="861" spans="3:3" ht="15.75" customHeight="1" x14ac:dyDescent="0.3">
      <c r="C861" s="2"/>
    </row>
    <row r="862" spans="3:3" ht="15.75" customHeight="1" x14ac:dyDescent="0.3">
      <c r="C862" s="2"/>
    </row>
    <row r="863" spans="3:3" ht="15.75" customHeight="1" x14ac:dyDescent="0.3">
      <c r="C863" s="2"/>
    </row>
    <row r="864" spans="3:3" ht="15.75" customHeight="1" x14ac:dyDescent="0.3">
      <c r="C864" s="2"/>
    </row>
    <row r="865" spans="3:3" ht="15.75" customHeight="1" x14ac:dyDescent="0.3">
      <c r="C865" s="2"/>
    </row>
    <row r="866" spans="3:3" ht="15.75" customHeight="1" x14ac:dyDescent="0.3">
      <c r="C866" s="2"/>
    </row>
    <row r="867" spans="3:3" ht="15.75" customHeight="1" x14ac:dyDescent="0.3">
      <c r="C867" s="2"/>
    </row>
    <row r="868" spans="3:3" ht="15.75" customHeight="1" x14ac:dyDescent="0.3">
      <c r="C868" s="2"/>
    </row>
    <row r="869" spans="3:3" ht="15.75" customHeight="1" x14ac:dyDescent="0.3">
      <c r="C869" s="2"/>
    </row>
    <row r="870" spans="3:3" ht="15.75" customHeight="1" x14ac:dyDescent="0.3">
      <c r="C870" s="2"/>
    </row>
    <row r="871" spans="3:3" ht="15.75" customHeight="1" x14ac:dyDescent="0.3">
      <c r="C871" s="2"/>
    </row>
    <row r="872" spans="3:3" ht="15.75" customHeight="1" x14ac:dyDescent="0.3">
      <c r="C872" s="2"/>
    </row>
    <row r="873" spans="3:3" ht="15.75" customHeight="1" x14ac:dyDescent="0.3">
      <c r="C873" s="2"/>
    </row>
    <row r="874" spans="3:3" ht="15.75" customHeight="1" x14ac:dyDescent="0.3">
      <c r="C874" s="2"/>
    </row>
    <row r="875" spans="3:3" ht="15.75" customHeight="1" x14ac:dyDescent="0.3">
      <c r="C875" s="2"/>
    </row>
    <row r="876" spans="3:3" ht="15.75" customHeight="1" x14ac:dyDescent="0.3">
      <c r="C876" s="2"/>
    </row>
    <row r="877" spans="3:3" ht="15.75" customHeight="1" x14ac:dyDescent="0.3">
      <c r="C877" s="2"/>
    </row>
    <row r="878" spans="3:3" ht="15.75" customHeight="1" x14ac:dyDescent="0.3">
      <c r="C878" s="2"/>
    </row>
    <row r="879" spans="3:3" ht="15.75" customHeight="1" x14ac:dyDescent="0.3">
      <c r="C879" s="2"/>
    </row>
    <row r="880" spans="3:3" ht="15.75" customHeight="1" x14ac:dyDescent="0.3">
      <c r="C880" s="2"/>
    </row>
    <row r="881" spans="3:3" ht="15.75" customHeight="1" x14ac:dyDescent="0.3">
      <c r="C881" s="2"/>
    </row>
    <row r="882" spans="3:3" ht="15.75" customHeight="1" x14ac:dyDescent="0.3">
      <c r="C882" s="2"/>
    </row>
    <row r="883" spans="3:3" ht="15.75" customHeight="1" x14ac:dyDescent="0.3">
      <c r="C883" s="2"/>
    </row>
    <row r="884" spans="3:3" ht="15.75" customHeight="1" x14ac:dyDescent="0.3">
      <c r="C884" s="2"/>
    </row>
    <row r="885" spans="3:3" ht="15.75" customHeight="1" x14ac:dyDescent="0.3">
      <c r="C885" s="2"/>
    </row>
    <row r="886" spans="3:3" ht="15.75" customHeight="1" x14ac:dyDescent="0.3">
      <c r="C886" s="2"/>
    </row>
    <row r="887" spans="3:3" ht="15.75" customHeight="1" x14ac:dyDescent="0.3">
      <c r="C887" s="2"/>
    </row>
    <row r="888" spans="3:3" ht="15.75" customHeight="1" x14ac:dyDescent="0.3">
      <c r="C888" s="2"/>
    </row>
    <row r="889" spans="3:3" ht="15.75" customHeight="1" x14ac:dyDescent="0.3">
      <c r="C889" s="2"/>
    </row>
    <row r="890" spans="3:3" ht="15.75" customHeight="1" x14ac:dyDescent="0.3">
      <c r="C890" s="2"/>
    </row>
    <row r="891" spans="3:3" ht="15.75" customHeight="1" x14ac:dyDescent="0.3">
      <c r="C891" s="2"/>
    </row>
    <row r="892" spans="3:3" ht="15.75" customHeight="1" x14ac:dyDescent="0.3">
      <c r="C892" s="2"/>
    </row>
    <row r="893" spans="3:3" ht="15.75" customHeight="1" x14ac:dyDescent="0.3">
      <c r="C893" s="2"/>
    </row>
    <row r="894" spans="3:3" ht="15.75" customHeight="1" x14ac:dyDescent="0.3">
      <c r="C894" s="2"/>
    </row>
    <row r="895" spans="3:3" ht="15.75" customHeight="1" x14ac:dyDescent="0.3">
      <c r="C895" s="2"/>
    </row>
    <row r="896" spans="3:3" ht="15.75" customHeight="1" x14ac:dyDescent="0.3">
      <c r="C896" s="2"/>
    </row>
    <row r="897" spans="3:3" ht="15.75" customHeight="1" x14ac:dyDescent="0.3">
      <c r="C897" s="2"/>
    </row>
    <row r="898" spans="3:3" ht="15.75" customHeight="1" x14ac:dyDescent="0.3">
      <c r="C898" s="2"/>
    </row>
    <row r="899" spans="3:3" ht="15.75" customHeight="1" x14ac:dyDescent="0.3">
      <c r="C899" s="2"/>
    </row>
    <row r="900" spans="3:3" ht="15.75" customHeight="1" x14ac:dyDescent="0.3">
      <c r="C900" s="2"/>
    </row>
    <row r="901" spans="3:3" ht="15.75" customHeight="1" x14ac:dyDescent="0.3">
      <c r="C901" s="2"/>
    </row>
    <row r="902" spans="3:3" ht="15.75" customHeight="1" x14ac:dyDescent="0.3">
      <c r="C902" s="2"/>
    </row>
    <row r="903" spans="3:3" ht="15.75" customHeight="1" x14ac:dyDescent="0.3">
      <c r="C903" s="2"/>
    </row>
    <row r="904" spans="3:3" ht="15.75" customHeight="1" x14ac:dyDescent="0.3">
      <c r="C904" s="2"/>
    </row>
    <row r="905" spans="3:3" ht="15.75" customHeight="1" x14ac:dyDescent="0.3">
      <c r="C905" s="2"/>
    </row>
    <row r="906" spans="3:3" ht="15.75" customHeight="1" x14ac:dyDescent="0.3">
      <c r="C906" s="2"/>
    </row>
    <row r="907" spans="3:3" ht="15.75" customHeight="1" x14ac:dyDescent="0.3">
      <c r="C907" s="2"/>
    </row>
    <row r="908" spans="3:3" ht="15.75" customHeight="1" x14ac:dyDescent="0.3">
      <c r="C908" s="2"/>
    </row>
    <row r="909" spans="3:3" ht="15.75" customHeight="1" x14ac:dyDescent="0.3">
      <c r="C909" s="2"/>
    </row>
    <row r="910" spans="3:3" ht="15.75" customHeight="1" x14ac:dyDescent="0.3">
      <c r="C910" s="2"/>
    </row>
    <row r="911" spans="3:3" ht="15.75" customHeight="1" x14ac:dyDescent="0.3">
      <c r="C911" s="2"/>
    </row>
    <row r="912" spans="3:3" ht="15.75" customHeight="1" x14ac:dyDescent="0.3">
      <c r="C912" s="2"/>
    </row>
    <row r="913" spans="3:3" ht="15.75" customHeight="1" x14ac:dyDescent="0.3">
      <c r="C913" s="2"/>
    </row>
    <row r="914" spans="3:3" ht="15.75" customHeight="1" x14ac:dyDescent="0.3">
      <c r="C914" s="2"/>
    </row>
    <row r="915" spans="3:3" ht="15.75" customHeight="1" x14ac:dyDescent="0.3">
      <c r="C915" s="2"/>
    </row>
    <row r="916" spans="3:3" ht="15.75" customHeight="1" x14ac:dyDescent="0.3">
      <c r="C916" s="2"/>
    </row>
    <row r="917" spans="3:3" ht="15.75" customHeight="1" x14ac:dyDescent="0.3">
      <c r="C917" s="2"/>
    </row>
    <row r="918" spans="3:3" ht="15.75" customHeight="1" x14ac:dyDescent="0.3">
      <c r="C918" s="2"/>
    </row>
    <row r="919" spans="3:3" ht="15.75" customHeight="1" x14ac:dyDescent="0.3">
      <c r="C919" s="2"/>
    </row>
    <row r="920" spans="3:3" ht="15.75" customHeight="1" x14ac:dyDescent="0.3">
      <c r="C920" s="2"/>
    </row>
    <row r="921" spans="3:3" ht="15.75" customHeight="1" x14ac:dyDescent="0.3">
      <c r="C921" s="2"/>
    </row>
    <row r="922" spans="3:3" ht="15.75" customHeight="1" x14ac:dyDescent="0.3">
      <c r="C922" s="2"/>
    </row>
    <row r="923" spans="3:3" ht="15.75" customHeight="1" x14ac:dyDescent="0.3">
      <c r="C923" s="2"/>
    </row>
    <row r="924" spans="3:3" ht="15.75" customHeight="1" x14ac:dyDescent="0.3">
      <c r="C924" s="2"/>
    </row>
    <row r="925" spans="3:3" ht="15.75" customHeight="1" x14ac:dyDescent="0.3">
      <c r="C925" s="2"/>
    </row>
    <row r="926" spans="3:3" ht="15.75" customHeight="1" x14ac:dyDescent="0.3">
      <c r="C926" s="2"/>
    </row>
    <row r="927" spans="3:3" ht="15.75" customHeight="1" x14ac:dyDescent="0.3">
      <c r="C927" s="2"/>
    </row>
    <row r="928" spans="3:3" ht="15.75" customHeight="1" x14ac:dyDescent="0.3">
      <c r="C928" s="2"/>
    </row>
    <row r="929" spans="3:3" ht="15.75" customHeight="1" x14ac:dyDescent="0.3">
      <c r="C929" s="2"/>
    </row>
    <row r="930" spans="3:3" ht="15.75" customHeight="1" x14ac:dyDescent="0.3">
      <c r="C930" s="2"/>
    </row>
    <row r="931" spans="3:3" ht="15.75" customHeight="1" x14ac:dyDescent="0.3">
      <c r="C931" s="2"/>
    </row>
    <row r="932" spans="3:3" ht="15.75" customHeight="1" x14ac:dyDescent="0.3">
      <c r="C932" s="2"/>
    </row>
    <row r="933" spans="3:3" ht="15.75" customHeight="1" x14ac:dyDescent="0.3">
      <c r="C933" s="2"/>
    </row>
    <row r="934" spans="3:3" ht="15.75" customHeight="1" x14ac:dyDescent="0.3">
      <c r="C934" s="2"/>
    </row>
    <row r="935" spans="3:3" ht="15.75" customHeight="1" x14ac:dyDescent="0.3">
      <c r="C935" s="2"/>
    </row>
    <row r="936" spans="3:3" ht="15.75" customHeight="1" x14ac:dyDescent="0.3">
      <c r="C936" s="2"/>
    </row>
    <row r="937" spans="3:3" ht="15.75" customHeight="1" x14ac:dyDescent="0.3">
      <c r="C937" s="2"/>
    </row>
    <row r="938" spans="3:3" ht="15.75" customHeight="1" x14ac:dyDescent="0.3">
      <c r="C938" s="2"/>
    </row>
    <row r="939" spans="3:3" ht="15.75" customHeight="1" x14ac:dyDescent="0.3">
      <c r="C939" s="2"/>
    </row>
    <row r="940" spans="3:3" ht="15.75" customHeight="1" x14ac:dyDescent="0.3">
      <c r="C940" s="2"/>
    </row>
    <row r="941" spans="3:3" ht="15.75" customHeight="1" x14ac:dyDescent="0.3">
      <c r="C941" s="2"/>
    </row>
    <row r="942" spans="3:3" ht="15.75" customHeight="1" x14ac:dyDescent="0.3">
      <c r="C942" s="2"/>
    </row>
    <row r="943" spans="3:3" ht="15.75" customHeight="1" x14ac:dyDescent="0.3">
      <c r="C943" s="2"/>
    </row>
    <row r="944" spans="3:3" ht="15.75" customHeight="1" x14ac:dyDescent="0.3">
      <c r="C944" s="2"/>
    </row>
    <row r="945" spans="3:3" ht="15.75" customHeight="1" x14ac:dyDescent="0.3">
      <c r="C945" s="2"/>
    </row>
    <row r="946" spans="3:3" ht="15.75" customHeight="1" x14ac:dyDescent="0.3">
      <c r="C946" s="2"/>
    </row>
    <row r="947" spans="3:3" ht="15.75" customHeight="1" x14ac:dyDescent="0.3">
      <c r="C947" s="2"/>
    </row>
    <row r="948" spans="3:3" ht="15.75" customHeight="1" x14ac:dyDescent="0.3">
      <c r="C948" s="2"/>
    </row>
    <row r="949" spans="3:3" ht="15.75" customHeight="1" x14ac:dyDescent="0.3">
      <c r="C949" s="2"/>
    </row>
    <row r="950" spans="3:3" ht="15.75" customHeight="1" x14ac:dyDescent="0.3">
      <c r="C950" s="2"/>
    </row>
    <row r="951" spans="3:3" ht="15.75" customHeight="1" x14ac:dyDescent="0.3">
      <c r="C951" s="2"/>
    </row>
    <row r="952" spans="3:3" ht="15.75" customHeight="1" x14ac:dyDescent="0.3">
      <c r="C952" s="2"/>
    </row>
    <row r="953" spans="3:3" ht="15.75" customHeight="1" x14ac:dyDescent="0.3">
      <c r="C953" s="2"/>
    </row>
    <row r="954" spans="3:3" ht="15.75" customHeight="1" x14ac:dyDescent="0.3">
      <c r="C954" s="2"/>
    </row>
    <row r="955" spans="3:3" ht="15.75" customHeight="1" x14ac:dyDescent="0.3">
      <c r="C955" s="2"/>
    </row>
    <row r="956" spans="3:3" ht="15.75" customHeight="1" x14ac:dyDescent="0.3">
      <c r="C956" s="2"/>
    </row>
    <row r="957" spans="3:3" ht="15.75" customHeight="1" x14ac:dyDescent="0.3">
      <c r="C957" s="2"/>
    </row>
    <row r="958" spans="3:3" ht="15.75" customHeight="1" x14ac:dyDescent="0.3">
      <c r="C958" s="2"/>
    </row>
    <row r="959" spans="3:3" ht="15.75" customHeight="1" x14ac:dyDescent="0.3">
      <c r="C959" s="2"/>
    </row>
    <row r="960" spans="3:3" ht="15.75" customHeight="1" x14ac:dyDescent="0.3">
      <c r="C960" s="2"/>
    </row>
    <row r="961" spans="3:3" ht="15.75" customHeight="1" x14ac:dyDescent="0.3">
      <c r="C961" s="2"/>
    </row>
    <row r="962" spans="3:3" ht="15.75" customHeight="1" x14ac:dyDescent="0.3">
      <c r="C962" s="2"/>
    </row>
    <row r="963" spans="3:3" ht="15.75" customHeight="1" x14ac:dyDescent="0.3">
      <c r="C963" s="2"/>
    </row>
    <row r="964" spans="3:3" ht="15.75" customHeight="1" x14ac:dyDescent="0.3">
      <c r="C964" s="2"/>
    </row>
    <row r="965" spans="3:3" ht="15.75" customHeight="1" x14ac:dyDescent="0.3">
      <c r="C965" s="2"/>
    </row>
    <row r="966" spans="3:3" ht="15.75" customHeight="1" x14ac:dyDescent="0.3">
      <c r="C966" s="2"/>
    </row>
    <row r="967" spans="3:3" ht="15.75" customHeight="1" x14ac:dyDescent="0.3">
      <c r="C967" s="2"/>
    </row>
    <row r="968" spans="3:3" ht="15.75" customHeight="1" x14ac:dyDescent="0.3">
      <c r="C968" s="2"/>
    </row>
    <row r="969" spans="3:3" ht="15.75" customHeight="1" x14ac:dyDescent="0.3">
      <c r="C969" s="2"/>
    </row>
    <row r="970" spans="3:3" ht="15.75" customHeight="1" x14ac:dyDescent="0.3">
      <c r="C970" s="2"/>
    </row>
    <row r="971" spans="3:3" ht="15.75" customHeight="1" x14ac:dyDescent="0.3">
      <c r="C971" s="2"/>
    </row>
    <row r="972" spans="3:3" ht="15.75" customHeight="1" x14ac:dyDescent="0.3">
      <c r="C972" s="2"/>
    </row>
    <row r="973" spans="3:3" ht="15.75" customHeight="1" x14ac:dyDescent="0.3">
      <c r="C973" s="2"/>
    </row>
    <row r="974" spans="3:3" ht="15.75" customHeight="1" x14ac:dyDescent="0.3">
      <c r="C974" s="2"/>
    </row>
    <row r="975" spans="3:3" ht="15.75" customHeight="1" x14ac:dyDescent="0.3">
      <c r="C975" s="2"/>
    </row>
    <row r="976" spans="3:3" ht="15.75" customHeight="1" x14ac:dyDescent="0.3">
      <c r="C976" s="2"/>
    </row>
    <row r="977" spans="3:3" ht="15.75" customHeight="1" x14ac:dyDescent="0.3">
      <c r="C977" s="2"/>
    </row>
    <row r="978" spans="3:3" ht="15.75" customHeight="1" x14ac:dyDescent="0.3">
      <c r="C978" s="2"/>
    </row>
    <row r="979" spans="3:3" ht="15.75" customHeight="1" x14ac:dyDescent="0.3">
      <c r="C979" s="2"/>
    </row>
    <row r="980" spans="3:3" ht="15.75" customHeight="1" x14ac:dyDescent="0.3">
      <c r="C980" s="2"/>
    </row>
    <row r="981" spans="3:3" ht="15.75" customHeight="1" x14ac:dyDescent="0.3">
      <c r="C981" s="2"/>
    </row>
    <row r="982" spans="3:3" ht="15.75" customHeight="1" x14ac:dyDescent="0.3">
      <c r="C982" s="2"/>
    </row>
    <row r="983" spans="3:3" ht="15.75" customHeight="1" x14ac:dyDescent="0.3">
      <c r="C983" s="2"/>
    </row>
    <row r="984" spans="3:3" ht="15.75" customHeight="1" x14ac:dyDescent="0.3">
      <c r="C984" s="2"/>
    </row>
    <row r="985" spans="3:3" ht="15.75" customHeight="1" x14ac:dyDescent="0.3">
      <c r="C985" s="2"/>
    </row>
    <row r="986" spans="3:3" ht="15.75" customHeight="1" x14ac:dyDescent="0.3">
      <c r="C986" s="2"/>
    </row>
    <row r="987" spans="3:3" ht="15.75" customHeight="1" x14ac:dyDescent="0.3">
      <c r="C987" s="2"/>
    </row>
    <row r="988" spans="3:3" ht="15.75" customHeight="1" x14ac:dyDescent="0.3">
      <c r="C988" s="2"/>
    </row>
    <row r="989" spans="3:3" ht="15.75" customHeight="1" x14ac:dyDescent="0.3">
      <c r="C989" s="2"/>
    </row>
    <row r="990" spans="3:3" ht="15.75" customHeight="1" x14ac:dyDescent="0.3">
      <c r="C990" s="2"/>
    </row>
    <row r="991" spans="3:3" ht="15.75" customHeight="1" x14ac:dyDescent="0.3">
      <c r="C991" s="2"/>
    </row>
    <row r="992" spans="3:3" ht="15.75" customHeight="1" x14ac:dyDescent="0.3">
      <c r="C992" s="2"/>
    </row>
    <row r="993" spans="3:3" ht="15.75" customHeight="1" x14ac:dyDescent="0.3">
      <c r="C993" s="2"/>
    </row>
    <row r="994" spans="3:3" ht="15.75" customHeight="1" x14ac:dyDescent="0.3">
      <c r="C994" s="2"/>
    </row>
    <row r="995" spans="3:3" ht="15.75" customHeight="1" x14ac:dyDescent="0.3">
      <c r="C995" s="2"/>
    </row>
    <row r="996" spans="3:3" ht="15.75" customHeight="1" x14ac:dyDescent="0.3">
      <c r="C996" s="2"/>
    </row>
    <row r="997" spans="3:3" ht="15.75" customHeight="1" x14ac:dyDescent="0.3">
      <c r="C997" s="2"/>
    </row>
    <row r="998" spans="3:3" ht="15.75" customHeight="1" x14ac:dyDescent="0.3">
      <c r="C998" s="2"/>
    </row>
    <row r="999" spans="3:3" ht="15.75" customHeight="1" x14ac:dyDescent="0.3">
      <c r="C999" s="2"/>
    </row>
    <row r="1000" spans="3:3" ht="15.75" customHeight="1" x14ac:dyDescent="0.3">
      <c r="C1000" s="2"/>
    </row>
  </sheetData>
  <mergeCells count="58">
    <mergeCell ref="A467:E467"/>
    <mergeCell ref="A476:D476"/>
    <mergeCell ref="A479:E479"/>
    <mergeCell ref="A492:D492"/>
    <mergeCell ref="A340:E340"/>
    <mergeCell ref="A382:D382"/>
    <mergeCell ref="A384:E384"/>
    <mergeCell ref="A450:D450"/>
    <mergeCell ref="A452:E452"/>
    <mergeCell ref="A465:D465"/>
    <mergeCell ref="A299:E299"/>
    <mergeCell ref="A302:D302"/>
    <mergeCell ref="A304:E304"/>
    <mergeCell ref="A312:D312"/>
    <mergeCell ref="A315:E315"/>
    <mergeCell ref="A338:D338"/>
    <mergeCell ref="A268:E268"/>
    <mergeCell ref="A281:D281"/>
    <mergeCell ref="A284:E284"/>
    <mergeCell ref="A287:D287"/>
    <mergeCell ref="A289:E289"/>
    <mergeCell ref="A297:D297"/>
    <mergeCell ref="A221:E221"/>
    <mergeCell ref="A228:D228"/>
    <mergeCell ref="A230:E230"/>
    <mergeCell ref="A240:D240"/>
    <mergeCell ref="A242:E242"/>
    <mergeCell ref="A264:D264"/>
    <mergeCell ref="A163:E163"/>
    <mergeCell ref="A202:D202"/>
    <mergeCell ref="A204:E204"/>
    <mergeCell ref="A211:D211"/>
    <mergeCell ref="A213:E213"/>
    <mergeCell ref="A219:D219"/>
    <mergeCell ref="A141:E141"/>
    <mergeCell ref="A145:D145"/>
    <mergeCell ref="A147:E147"/>
    <mergeCell ref="A151:D151"/>
    <mergeCell ref="A153:E153"/>
    <mergeCell ref="A161:D161"/>
    <mergeCell ref="A63:E63"/>
    <mergeCell ref="A71:D71"/>
    <mergeCell ref="A73:E73"/>
    <mergeCell ref="A108:D108"/>
    <mergeCell ref="A110:E110"/>
    <mergeCell ref="A139:D139"/>
    <mergeCell ref="A34:E34"/>
    <mergeCell ref="A42:D42"/>
    <mergeCell ref="A44:E44"/>
    <mergeCell ref="A51:D51"/>
    <mergeCell ref="A53:E53"/>
    <mergeCell ref="A61:D61"/>
    <mergeCell ref="A3:E3"/>
    <mergeCell ref="A11:D11"/>
    <mergeCell ref="A13:E13"/>
    <mergeCell ref="A21:D21"/>
    <mergeCell ref="A24:E24"/>
    <mergeCell ref="A32:D3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taufik</dc:creator>
  <cp:lastModifiedBy>taufik</cp:lastModifiedBy>
  <dcterms:created xsi:type="dcterms:W3CDTF">2026-06-21T11:27:49Z</dcterms:created>
  <dcterms:modified xsi:type="dcterms:W3CDTF">2026-06-21T11:30:20Z</dcterms:modified>
</cp:coreProperties>
</file>